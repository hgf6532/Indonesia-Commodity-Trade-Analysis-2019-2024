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s 11\Desktop\"/>
    </mc:Choice>
  </mc:AlternateContent>
  <xr:revisionPtr revIDLastSave="0" documentId="13_ncr:1_{85BB7C25-B1B4-4E59-A23D-7A05B9DF0E60}" xr6:coauthVersionLast="47" xr6:coauthVersionMax="47" xr10:uidLastSave="{00000000-0000-0000-0000-000000000000}"/>
  <bookViews>
    <workbookView xWindow="-120" yWindow="-120" windowWidth="29040" windowHeight="16440" tabRatio="537" firstSheet="3" activeTab="9" xr2:uid="{00000000-000D-0000-FFFF-FFFF00000000}"/>
  </bookViews>
  <sheets>
    <sheet name="MAIN" sheetId="1" r:id="rId1"/>
    <sheet name="DASHBOARD" sheetId="11" r:id="rId2"/>
    <sheet name="DATA PROFILE" sheetId="3" r:id="rId3"/>
    <sheet name="UNIVARIATE" sheetId="4" r:id="rId4"/>
    <sheet name="BIVARIATE" sheetId="5" r:id="rId5"/>
    <sheet name="TIME SERIES" sheetId="6" r:id="rId6"/>
    <sheet name="TRADE BALANCE" sheetId="7" r:id="rId7"/>
    <sheet name="KEY FINDINGS" sheetId="8" r:id="rId8"/>
    <sheet name="RAW DATA" sheetId="2" r:id="rId9"/>
    <sheet name="Data_table" sheetId="9" r:id="rId10"/>
  </sheets>
  <externalReferences>
    <externalReference r:id="rId11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11" l="1"/>
  <c r="F21" i="11"/>
  <c r="G20" i="11"/>
  <c r="F20" i="11"/>
  <c r="K19" i="11"/>
  <c r="J19" i="11"/>
  <c r="G19" i="11"/>
  <c r="F19" i="11"/>
  <c r="K18" i="11"/>
  <c r="J18" i="11"/>
  <c r="G18" i="11"/>
  <c r="F18" i="11"/>
  <c r="K17" i="11"/>
  <c r="J17" i="11"/>
  <c r="G17" i="11"/>
  <c r="F17" i="11"/>
  <c r="K16" i="11"/>
  <c r="J16" i="11"/>
  <c r="G16" i="11"/>
  <c r="F16" i="11"/>
  <c r="N15" i="11"/>
  <c r="K15" i="11"/>
  <c r="J15" i="11"/>
  <c r="G15" i="11"/>
  <c r="F15" i="11"/>
  <c r="C15" i="11"/>
  <c r="B15" i="11"/>
  <c r="N14" i="11"/>
  <c r="K14" i="11"/>
  <c r="J14" i="11"/>
  <c r="G14" i="11"/>
  <c r="F14" i="11"/>
  <c r="C14" i="11"/>
  <c r="B14" i="11"/>
  <c r="N13" i="11"/>
  <c r="K13" i="11"/>
  <c r="J13" i="11"/>
  <c r="G13" i="11"/>
  <c r="F13" i="11"/>
  <c r="C13" i="11"/>
  <c r="B13" i="11"/>
  <c r="N12" i="11"/>
  <c r="K12" i="11"/>
  <c r="J12" i="11"/>
  <c r="G12" i="11"/>
  <c r="F12" i="11"/>
  <c r="C12" i="11"/>
  <c r="B12" i="11"/>
  <c r="N11" i="11"/>
  <c r="K11" i="11"/>
  <c r="J11" i="11"/>
  <c r="G11" i="11"/>
  <c r="F11" i="11"/>
  <c r="C11" i="11"/>
  <c r="B11" i="11"/>
  <c r="N10" i="11"/>
  <c r="K10" i="11"/>
  <c r="J10" i="11"/>
  <c r="G10" i="11"/>
  <c r="F10" i="11"/>
  <c r="C10" i="11"/>
  <c r="B10" i="11"/>
  <c r="P5" i="11"/>
  <c r="G5" i="11"/>
  <c r="D5" i="11"/>
  <c r="A5" i="11"/>
  <c r="G9" i="7"/>
  <c r="K20" i="7"/>
  <c r="I20" i="7"/>
  <c r="H20" i="7"/>
  <c r="J20" i="7" s="1"/>
  <c r="D20" i="7"/>
  <c r="C20" i="7"/>
  <c r="E20" i="7" s="1"/>
  <c r="K19" i="7"/>
  <c r="I19" i="7"/>
  <c r="H19" i="7"/>
  <c r="J19" i="7" s="1"/>
  <c r="D19" i="7"/>
  <c r="C19" i="7"/>
  <c r="E19" i="7" s="1"/>
  <c r="K18" i="7"/>
  <c r="I18" i="7"/>
  <c r="H18" i="7"/>
  <c r="J18" i="7" s="1"/>
  <c r="D18" i="7"/>
  <c r="C18" i="7"/>
  <c r="E18" i="7" s="1"/>
  <c r="K17" i="7"/>
  <c r="J17" i="7"/>
  <c r="I17" i="7"/>
  <c r="H17" i="7"/>
  <c r="E17" i="7"/>
  <c r="G17" i="7" s="1"/>
  <c r="D17" i="7"/>
  <c r="C17" i="7"/>
  <c r="K16" i="7"/>
  <c r="J16" i="7"/>
  <c r="I16" i="7"/>
  <c r="H16" i="7"/>
  <c r="F16" i="7"/>
  <c r="E16" i="7"/>
  <c r="G16" i="7" s="1"/>
  <c r="D16" i="7"/>
  <c r="C16" i="7"/>
  <c r="K15" i="7"/>
  <c r="I15" i="7"/>
  <c r="H15" i="7"/>
  <c r="J15" i="7" s="1"/>
  <c r="D15" i="7"/>
  <c r="C15" i="7"/>
  <c r="E15" i="7" s="1"/>
  <c r="K14" i="7"/>
  <c r="I14" i="7"/>
  <c r="H14" i="7"/>
  <c r="J14" i="7" s="1"/>
  <c r="G14" i="7"/>
  <c r="E14" i="7"/>
  <c r="F14" i="7" s="1"/>
  <c r="D14" i="7"/>
  <c r="C14" i="7"/>
  <c r="K13" i="7"/>
  <c r="I13" i="7"/>
  <c r="J13" i="7" s="1"/>
  <c r="H13" i="7"/>
  <c r="E13" i="7"/>
  <c r="G13" i="7" s="1"/>
  <c r="D13" i="7"/>
  <c r="C13" i="7"/>
  <c r="K12" i="7"/>
  <c r="J12" i="7"/>
  <c r="I12" i="7"/>
  <c r="H12" i="7"/>
  <c r="D12" i="7"/>
  <c r="C12" i="7"/>
  <c r="E12" i="7" s="1"/>
  <c r="K11" i="7"/>
  <c r="J11" i="7"/>
  <c r="I11" i="7"/>
  <c r="H11" i="7"/>
  <c r="D11" i="7"/>
  <c r="C11" i="7"/>
  <c r="E11" i="7" s="1"/>
  <c r="K10" i="7"/>
  <c r="I10" i="7"/>
  <c r="H10" i="7"/>
  <c r="J10" i="7" s="1"/>
  <c r="D10" i="7"/>
  <c r="E10" i="7" s="1"/>
  <c r="C10" i="7"/>
  <c r="K9" i="7"/>
  <c r="I9" i="7"/>
  <c r="H9" i="7"/>
  <c r="J9" i="7" s="1"/>
  <c r="D9" i="7"/>
  <c r="E9" i="7" s="1"/>
  <c r="C9" i="7"/>
  <c r="K8" i="7"/>
  <c r="J8" i="7"/>
  <c r="I8" i="7"/>
  <c r="H8" i="7"/>
  <c r="G8" i="7"/>
  <c r="F8" i="7"/>
  <c r="E8" i="7"/>
  <c r="D8" i="7"/>
  <c r="C8" i="7"/>
  <c r="K7" i="7"/>
  <c r="J7" i="7"/>
  <c r="I7" i="7"/>
  <c r="H7" i="7"/>
  <c r="D7" i="7"/>
  <c r="C7" i="7"/>
  <c r="E7" i="7" s="1"/>
  <c r="K6" i="7"/>
  <c r="I6" i="7"/>
  <c r="H6" i="7"/>
  <c r="J6" i="7" s="1"/>
  <c r="D6" i="7"/>
  <c r="D21" i="7" s="1"/>
  <c r="C6" i="7"/>
  <c r="C21" i="7" s="1"/>
  <c r="M18" i="6"/>
  <c r="L18" i="6"/>
  <c r="H18" i="6"/>
  <c r="G18" i="6"/>
  <c r="F18" i="6"/>
  <c r="E18" i="6"/>
  <c r="D18" i="6"/>
  <c r="K18" i="6" s="1"/>
  <c r="C18" i="6"/>
  <c r="I18" i="6" s="1"/>
  <c r="B18" i="6"/>
  <c r="K17" i="6"/>
  <c r="G17" i="6"/>
  <c r="M17" i="6" s="1"/>
  <c r="F17" i="6"/>
  <c r="L17" i="6" s="1"/>
  <c r="E17" i="6"/>
  <c r="D17" i="6"/>
  <c r="J17" i="6" s="1"/>
  <c r="C17" i="6"/>
  <c r="I17" i="6" s="1"/>
  <c r="B17" i="6"/>
  <c r="L16" i="6"/>
  <c r="K16" i="6"/>
  <c r="G16" i="6"/>
  <c r="M16" i="6" s="1"/>
  <c r="F16" i="6"/>
  <c r="E16" i="6"/>
  <c r="D16" i="6"/>
  <c r="J16" i="6" s="1"/>
  <c r="C16" i="6"/>
  <c r="I16" i="6" s="1"/>
  <c r="B16" i="6"/>
  <c r="L15" i="6"/>
  <c r="K15" i="6"/>
  <c r="G15" i="6"/>
  <c r="H15" i="6" s="1"/>
  <c r="F15" i="6"/>
  <c r="E15" i="6"/>
  <c r="D15" i="6"/>
  <c r="J15" i="6" s="1"/>
  <c r="C15" i="6"/>
  <c r="I15" i="6" s="1"/>
  <c r="B15" i="6"/>
  <c r="L14" i="6"/>
  <c r="H14" i="6"/>
  <c r="G14" i="6"/>
  <c r="M14" i="6" s="1"/>
  <c r="F14" i="6"/>
  <c r="E14" i="6"/>
  <c r="D14" i="6"/>
  <c r="K14" i="6" s="1"/>
  <c r="C14" i="6"/>
  <c r="J14" i="6" s="1"/>
  <c r="B14" i="6"/>
  <c r="K13" i="6"/>
  <c r="G13" i="6"/>
  <c r="M13" i="6" s="1"/>
  <c r="F13" i="6"/>
  <c r="L13" i="6" s="1"/>
  <c r="E13" i="6"/>
  <c r="D13" i="6"/>
  <c r="J13" i="6" s="1"/>
  <c r="C13" i="6"/>
  <c r="I13" i="6" s="1"/>
  <c r="B13" i="6"/>
  <c r="E8" i="6"/>
  <c r="M7" i="6"/>
  <c r="J7" i="6"/>
  <c r="G7" i="6"/>
  <c r="F7" i="6"/>
  <c r="F8" i="6" s="1"/>
  <c r="E7" i="6"/>
  <c r="K7" i="6" s="1"/>
  <c r="D7" i="6"/>
  <c r="C7" i="6"/>
  <c r="B7" i="6"/>
  <c r="I7" i="6" s="1"/>
  <c r="M6" i="6"/>
  <c r="I6" i="6"/>
  <c r="G6" i="6"/>
  <c r="G8" i="6" s="1"/>
  <c r="F6" i="6"/>
  <c r="L6" i="6" s="1"/>
  <c r="E6" i="6"/>
  <c r="K6" i="6" s="1"/>
  <c r="D6" i="6"/>
  <c r="D8" i="6" s="1"/>
  <c r="C6" i="6"/>
  <c r="C8" i="6" s="1"/>
  <c r="B6" i="6"/>
  <c r="B8" i="6" s="1"/>
  <c r="K22" i="5"/>
  <c r="J22" i="5"/>
  <c r="I22" i="5"/>
  <c r="H22" i="5"/>
  <c r="G22" i="5"/>
  <c r="F22" i="5"/>
  <c r="E22" i="5"/>
  <c r="D22" i="5"/>
  <c r="C22" i="5"/>
  <c r="B22" i="5"/>
  <c r="K21" i="5"/>
  <c r="J21" i="5"/>
  <c r="I21" i="5"/>
  <c r="H21" i="5"/>
  <c r="G21" i="5"/>
  <c r="F21" i="5"/>
  <c r="E21" i="5"/>
  <c r="D21" i="5"/>
  <c r="C21" i="5"/>
  <c r="B21" i="5"/>
  <c r="K20" i="5"/>
  <c r="J20" i="5"/>
  <c r="I20" i="5"/>
  <c r="H20" i="5"/>
  <c r="G20" i="5"/>
  <c r="F20" i="5"/>
  <c r="E20" i="5"/>
  <c r="D20" i="5"/>
  <c r="C20" i="5"/>
  <c r="B20" i="5"/>
  <c r="K19" i="5"/>
  <c r="J19" i="5"/>
  <c r="I19" i="5"/>
  <c r="H19" i="5"/>
  <c r="G19" i="5"/>
  <c r="F19" i="5"/>
  <c r="E19" i="5"/>
  <c r="D19" i="5"/>
  <c r="C19" i="5"/>
  <c r="B19" i="5"/>
  <c r="K18" i="5"/>
  <c r="J18" i="5"/>
  <c r="I18" i="5"/>
  <c r="H18" i="5"/>
  <c r="G18" i="5"/>
  <c r="F18" i="5"/>
  <c r="E18" i="5"/>
  <c r="D18" i="5"/>
  <c r="C18" i="5"/>
  <c r="B18" i="5"/>
  <c r="L18" i="5" s="1"/>
  <c r="K17" i="5"/>
  <c r="J17" i="5"/>
  <c r="J23" i="5" s="1"/>
  <c r="I17" i="5"/>
  <c r="H17" i="5"/>
  <c r="G17" i="5"/>
  <c r="F17" i="5"/>
  <c r="F23" i="5" s="1"/>
  <c r="E17" i="5"/>
  <c r="D17" i="5"/>
  <c r="D23" i="5" s="1"/>
  <c r="C17" i="5"/>
  <c r="B17" i="5"/>
  <c r="K11" i="5"/>
  <c r="J11" i="5"/>
  <c r="I11" i="5"/>
  <c r="H11" i="5"/>
  <c r="G11" i="5"/>
  <c r="F11" i="5"/>
  <c r="E11" i="5"/>
  <c r="D11" i="5"/>
  <c r="C11" i="5"/>
  <c r="B11" i="5"/>
  <c r="O10" i="5"/>
  <c r="K10" i="5"/>
  <c r="J10" i="5"/>
  <c r="I10" i="5"/>
  <c r="H10" i="5"/>
  <c r="G10" i="5"/>
  <c r="F10" i="5"/>
  <c r="E10" i="5"/>
  <c r="D10" i="5"/>
  <c r="C10" i="5"/>
  <c r="B10" i="5"/>
  <c r="O9" i="5"/>
  <c r="K9" i="5"/>
  <c r="J9" i="5"/>
  <c r="I9" i="5"/>
  <c r="H9" i="5"/>
  <c r="G9" i="5"/>
  <c r="F9" i="5"/>
  <c r="E9" i="5"/>
  <c r="D9" i="5"/>
  <c r="C9" i="5"/>
  <c r="B9" i="5"/>
  <c r="O8" i="5"/>
  <c r="K8" i="5"/>
  <c r="J8" i="5"/>
  <c r="I8" i="5"/>
  <c r="H8" i="5"/>
  <c r="G8" i="5"/>
  <c r="F8" i="5"/>
  <c r="E8" i="5"/>
  <c r="D8" i="5"/>
  <c r="C8" i="5"/>
  <c r="B8" i="5"/>
  <c r="O7" i="5"/>
  <c r="K7" i="5"/>
  <c r="J7" i="5"/>
  <c r="I7" i="5"/>
  <c r="H7" i="5"/>
  <c r="G7" i="5"/>
  <c r="F7" i="5"/>
  <c r="E7" i="5"/>
  <c r="D7" i="5"/>
  <c r="C7" i="5"/>
  <c r="B7" i="5"/>
  <c r="O6" i="5"/>
  <c r="K6" i="5"/>
  <c r="K12" i="5" s="1"/>
  <c r="J6" i="5"/>
  <c r="J12" i="5" s="1"/>
  <c r="I6" i="5"/>
  <c r="H6" i="5"/>
  <c r="H12" i="5" s="1"/>
  <c r="G6" i="5"/>
  <c r="G12" i="5" s="1"/>
  <c r="F6" i="5"/>
  <c r="F12" i="5" s="1"/>
  <c r="E6" i="5"/>
  <c r="D6" i="5"/>
  <c r="C6" i="5"/>
  <c r="B6" i="5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M20" i="4"/>
  <c r="L20" i="4"/>
  <c r="K20" i="4"/>
  <c r="J20" i="4"/>
  <c r="M19" i="4"/>
  <c r="L19" i="4"/>
  <c r="K19" i="4"/>
  <c r="J19" i="4"/>
  <c r="M18" i="4"/>
  <c r="L18" i="4"/>
  <c r="K18" i="4"/>
  <c r="J18" i="4"/>
  <c r="M17" i="4"/>
  <c r="L17" i="4"/>
  <c r="K17" i="4"/>
  <c r="J17" i="4"/>
  <c r="G17" i="4"/>
  <c r="F17" i="4"/>
  <c r="E17" i="4"/>
  <c r="D17" i="4"/>
  <c r="C17" i="4"/>
  <c r="M16" i="4"/>
  <c r="L16" i="4"/>
  <c r="K16" i="4"/>
  <c r="J16" i="4"/>
  <c r="G16" i="4"/>
  <c r="F16" i="4"/>
  <c r="E16" i="4"/>
  <c r="D16" i="4"/>
  <c r="C16" i="4"/>
  <c r="M15" i="4"/>
  <c r="L15" i="4"/>
  <c r="K15" i="4"/>
  <c r="J15" i="4"/>
  <c r="G15" i="4"/>
  <c r="F15" i="4"/>
  <c r="E15" i="4"/>
  <c r="D15" i="4"/>
  <c r="C15" i="4"/>
  <c r="M14" i="4"/>
  <c r="L14" i="4"/>
  <c r="K14" i="4"/>
  <c r="J14" i="4"/>
  <c r="G14" i="4"/>
  <c r="F14" i="4"/>
  <c r="E14" i="4"/>
  <c r="D14" i="4"/>
  <c r="C14" i="4"/>
  <c r="M13" i="4"/>
  <c r="L13" i="4"/>
  <c r="K13" i="4"/>
  <c r="J13" i="4"/>
  <c r="G13" i="4"/>
  <c r="F13" i="4"/>
  <c r="E13" i="4"/>
  <c r="D13" i="4"/>
  <c r="C13" i="4"/>
  <c r="M12" i="4"/>
  <c r="L12" i="4"/>
  <c r="K12" i="4"/>
  <c r="J12" i="4"/>
  <c r="G12" i="4"/>
  <c r="F12" i="4"/>
  <c r="E12" i="4"/>
  <c r="D12" i="4"/>
  <c r="C12" i="4"/>
  <c r="M11" i="4"/>
  <c r="L11" i="4"/>
  <c r="K11" i="4"/>
  <c r="J11" i="4"/>
  <c r="G11" i="4"/>
  <c r="F11" i="4"/>
  <c r="E11" i="4"/>
  <c r="D11" i="4"/>
  <c r="C11" i="4"/>
  <c r="M10" i="4"/>
  <c r="L10" i="4"/>
  <c r="K10" i="4"/>
  <c r="J10" i="4"/>
  <c r="G10" i="4"/>
  <c r="F10" i="4"/>
  <c r="E10" i="4"/>
  <c r="D10" i="4"/>
  <c r="C10" i="4"/>
  <c r="M9" i="4"/>
  <c r="L9" i="4"/>
  <c r="K9" i="4"/>
  <c r="J9" i="4"/>
  <c r="G9" i="4"/>
  <c r="F9" i="4"/>
  <c r="E9" i="4"/>
  <c r="D9" i="4"/>
  <c r="C9" i="4"/>
  <c r="M8" i="4"/>
  <c r="L8" i="4"/>
  <c r="K8" i="4"/>
  <c r="J8" i="4"/>
  <c r="G8" i="4"/>
  <c r="F8" i="4"/>
  <c r="E8" i="4"/>
  <c r="D8" i="4"/>
  <c r="C8" i="4"/>
  <c r="M7" i="4"/>
  <c r="L7" i="4"/>
  <c r="K7" i="4"/>
  <c r="J7" i="4"/>
  <c r="G7" i="4"/>
  <c r="F7" i="4"/>
  <c r="E7" i="4"/>
  <c r="D7" i="4"/>
  <c r="C7" i="4"/>
  <c r="M6" i="4"/>
  <c r="L6" i="4"/>
  <c r="K6" i="4"/>
  <c r="J6" i="4"/>
  <c r="G6" i="4"/>
  <c r="F6" i="4"/>
  <c r="E6" i="4"/>
  <c r="D6" i="4"/>
  <c r="C6" i="4"/>
  <c r="I38" i="3"/>
  <c r="H38" i="3"/>
  <c r="G38" i="3"/>
  <c r="J38" i="3" s="1"/>
  <c r="I37" i="3"/>
  <c r="H37" i="3"/>
  <c r="G37" i="3"/>
  <c r="J37" i="3" s="1"/>
  <c r="I36" i="3"/>
  <c r="H36" i="3"/>
  <c r="G36" i="3"/>
  <c r="J36" i="3" s="1"/>
  <c r="J35" i="3"/>
  <c r="I35" i="3"/>
  <c r="H35" i="3"/>
  <c r="G35" i="3"/>
  <c r="I34" i="3"/>
  <c r="H34" i="3"/>
  <c r="G34" i="3"/>
  <c r="J34" i="3" s="1"/>
  <c r="I33" i="3"/>
  <c r="H33" i="3"/>
  <c r="G33" i="3"/>
  <c r="J33" i="3" s="1"/>
  <c r="I32" i="3"/>
  <c r="H32" i="3"/>
  <c r="G32" i="3"/>
  <c r="J32" i="3" s="1"/>
  <c r="J31" i="3"/>
  <c r="I31" i="3"/>
  <c r="H31" i="3"/>
  <c r="G31" i="3"/>
  <c r="I30" i="3"/>
  <c r="H30" i="3"/>
  <c r="G30" i="3"/>
  <c r="J30" i="3" s="1"/>
  <c r="I29" i="3"/>
  <c r="H29" i="3"/>
  <c r="G29" i="3"/>
  <c r="J29" i="3" s="1"/>
  <c r="I28" i="3"/>
  <c r="H28" i="3"/>
  <c r="G28" i="3"/>
  <c r="J28" i="3" s="1"/>
  <c r="C28" i="3"/>
  <c r="B28" i="3"/>
  <c r="I27" i="3"/>
  <c r="H27" i="3"/>
  <c r="G27" i="3"/>
  <c r="J27" i="3" s="1"/>
  <c r="C27" i="3"/>
  <c r="B27" i="3"/>
  <c r="J23" i="3"/>
  <c r="I23" i="3"/>
  <c r="H23" i="3"/>
  <c r="G23" i="3"/>
  <c r="F23" i="3"/>
  <c r="E23" i="3"/>
  <c r="D23" i="3"/>
  <c r="C23" i="3"/>
  <c r="J22" i="3"/>
  <c r="I22" i="3"/>
  <c r="H22" i="3"/>
  <c r="G22" i="3"/>
  <c r="F22" i="3"/>
  <c r="E22" i="3"/>
  <c r="D22" i="3"/>
  <c r="C22" i="3"/>
  <c r="J21" i="3"/>
  <c r="I21" i="3"/>
  <c r="H21" i="3"/>
  <c r="G21" i="3"/>
  <c r="F21" i="3"/>
  <c r="E21" i="3"/>
  <c r="D21" i="3"/>
  <c r="C21" i="3"/>
  <c r="E16" i="3"/>
  <c r="E15" i="3"/>
  <c r="E14" i="3"/>
  <c r="E13" i="3"/>
  <c r="E12" i="3"/>
  <c r="E11" i="3"/>
  <c r="E10" i="3"/>
  <c r="E9" i="3"/>
  <c r="E8" i="3"/>
  <c r="E7" i="3"/>
  <c r="E6" i="3"/>
  <c r="L21" i="5" l="1"/>
  <c r="H23" i="5"/>
  <c r="K23" i="5"/>
  <c r="L11" i="5"/>
  <c r="L10" i="5"/>
  <c r="I23" i="5"/>
  <c r="B12" i="5"/>
  <c r="L20" i="5"/>
  <c r="L7" i="5"/>
  <c r="L6" i="5"/>
  <c r="L12" i="5" s="1"/>
  <c r="L9" i="5"/>
  <c r="G23" i="5"/>
  <c r="D12" i="5"/>
  <c r="I12" i="5"/>
  <c r="L17" i="5"/>
  <c r="L23" i="5" s="1"/>
  <c r="E12" i="5"/>
  <c r="C23" i="5"/>
  <c r="E23" i="5"/>
  <c r="L22" i="5"/>
  <c r="L8" i="5"/>
  <c r="L19" i="5"/>
  <c r="G19" i="7"/>
  <c r="F19" i="7"/>
  <c r="G18" i="7"/>
  <c r="F18" i="7"/>
  <c r="F12" i="7"/>
  <c r="G12" i="7"/>
  <c r="G10" i="7"/>
  <c r="F10" i="7"/>
  <c r="F9" i="7"/>
  <c r="G20" i="7"/>
  <c r="F20" i="7"/>
  <c r="G11" i="7"/>
  <c r="F11" i="7"/>
  <c r="G7" i="7"/>
  <c r="F7" i="7"/>
  <c r="G15" i="7"/>
  <c r="F15" i="7"/>
  <c r="I14" i="6"/>
  <c r="M15" i="6"/>
  <c r="H7" i="6"/>
  <c r="J18" i="6"/>
  <c r="H13" i="6"/>
  <c r="H17" i="6"/>
  <c r="B23" i="5"/>
  <c r="H6" i="6"/>
  <c r="L7" i="6"/>
  <c r="J6" i="6"/>
  <c r="H16" i="6"/>
  <c r="E6" i="7"/>
  <c r="F13" i="7"/>
  <c r="C12" i="5"/>
  <c r="F17" i="7"/>
  <c r="E21" i="7" l="1"/>
  <c r="G6" i="7"/>
  <c r="F6" i="7"/>
</calcChain>
</file>

<file path=xl/sharedStrings.xml><?xml version="1.0" encoding="utf-8"?>
<sst xmlns="http://schemas.openxmlformats.org/spreadsheetml/2006/main" count="4209" uniqueCount="554">
  <si>
    <t>INDONESIAN TRADE FLOW ANALYSIS
Exploratory Data Analysis  ·  FY2019–2024</t>
  </si>
  <si>
    <t>Dataset: 264 records  |  12 Commodities  |  15 Trading Partners  |  6 Years</t>
  </si>
  <si>
    <t xml:space="preserve">  ABOUT THIS WORKBOOK</t>
  </si>
  <si>
    <t>flows from 2019 to 2024. The dataset covers Indonesia's top export and import commodities across</t>
  </si>
  <si>
    <t>its primary trading partners, capturing value, volume, price, and logistics mode.</t>
  </si>
  <si>
    <t>The analysis proceeds from raw data inspection through univariate and bivariate analysis to time-series</t>
  </si>
  <si>
    <t xml:space="preserve">  WORKBOOK STRUCTURE</t>
  </si>
  <si>
    <t>#</t>
  </si>
  <si>
    <t>Sheet</t>
  </si>
  <si>
    <t>What It Contains</t>
  </si>
  <si>
    <t>1</t>
  </si>
  <si>
    <t>RAW DATA</t>
  </si>
  <si>
    <t>264 trade records — all commodities, all partners, all years</t>
  </si>
  <si>
    <t>2</t>
  </si>
  <si>
    <t>DATA PROFILE</t>
  </si>
  <si>
    <t>Null counts, unique values, data types, numeric summaries</t>
  </si>
  <si>
    <t>3</t>
  </si>
  <si>
    <t>UNIVARIATE</t>
  </si>
  <si>
    <t>Frequency distributions and descriptive stats per variable</t>
  </si>
  <si>
    <t>4</t>
  </si>
  <si>
    <t>BIVARIATE</t>
  </si>
  <si>
    <t>Cross-analysis: commodity × partner, export vs import matrices</t>
  </si>
  <si>
    <t>5</t>
  </si>
  <si>
    <t>TIME SERIES</t>
  </si>
  <si>
    <t>Year-on-year trends, CAGR, growth rates by commodity and partner</t>
  </si>
  <si>
    <t>6</t>
  </si>
  <si>
    <t>TRADE BALANCE</t>
  </si>
  <si>
    <t>Indonesia's trade surplus/deficit by partner and commodity</t>
  </si>
  <si>
    <t>7</t>
  </si>
  <si>
    <t>KEY FINDINGS</t>
  </si>
  <si>
    <t>Synthesised analytical insights with supply chain context</t>
  </si>
  <si>
    <t xml:space="preserve">  KEY DATASET STATISTICS</t>
  </si>
  <si>
    <t>Total Records</t>
  </si>
  <si>
    <t>264</t>
  </si>
  <si>
    <t>Export Records</t>
  </si>
  <si>
    <t>132</t>
  </si>
  <si>
    <t>Import Records</t>
  </si>
  <si>
    <t>Years Covered</t>
  </si>
  <si>
    <t>2019–2024</t>
  </si>
  <si>
    <t>Commodities</t>
  </si>
  <si>
    <t>12</t>
  </si>
  <si>
    <t>Trading Partners</t>
  </si>
  <si>
    <t>15</t>
  </si>
  <si>
    <t>Export Commodities</t>
  </si>
  <si>
    <t>Import Commodities</t>
  </si>
  <si>
    <t>Regions Covered</t>
  </si>
  <si>
    <t>RAW DATA  ·  Indonesian Trade Flows FY2019–2024  ·  264 Records</t>
  </si>
  <si>
    <t>Record_ID</t>
  </si>
  <si>
    <t>Year</t>
  </si>
  <si>
    <t>Trade_Type</t>
  </si>
  <si>
    <t>Commodity</t>
  </si>
  <si>
    <t>HS_Code</t>
  </si>
  <si>
    <t>Trading_Partner</t>
  </si>
  <si>
    <t>Region</t>
  </si>
  <si>
    <t>Trade_Value_USD_M</t>
  </si>
  <si>
    <t>Volume_kMT</t>
  </si>
  <si>
    <t>Unit_Price_USD_MT</t>
  </si>
  <si>
    <t>Logistics_Mode</t>
  </si>
  <si>
    <t>IDN-0001</t>
  </si>
  <si>
    <t>Export</t>
  </si>
  <si>
    <t>Palm Oil</t>
  </si>
  <si>
    <t>India</t>
  </si>
  <si>
    <t>South Asia</t>
  </si>
  <si>
    <t>Sea</t>
  </si>
  <si>
    <t>IDN-0002</t>
  </si>
  <si>
    <t>IDN-0003</t>
  </si>
  <si>
    <t>IDN-0004</t>
  </si>
  <si>
    <t>IDN-0005</t>
  </si>
  <si>
    <t>IDN-0006</t>
  </si>
  <si>
    <t>IDN-0007</t>
  </si>
  <si>
    <t>China</t>
  </si>
  <si>
    <t>East Asia</t>
  </si>
  <si>
    <t>IDN-0008</t>
  </si>
  <si>
    <t>IDN-0009</t>
  </si>
  <si>
    <t>IDN-0010</t>
  </si>
  <si>
    <t>IDN-0011</t>
  </si>
  <si>
    <t>IDN-0012</t>
  </si>
  <si>
    <t>IDN-0013</t>
  </si>
  <si>
    <t>EU</t>
  </si>
  <si>
    <t>Europe</t>
  </si>
  <si>
    <t>IDN-0014</t>
  </si>
  <si>
    <t>IDN-0015</t>
  </si>
  <si>
    <t>IDN-0016</t>
  </si>
  <si>
    <t>IDN-0017</t>
  </si>
  <si>
    <t>IDN-0018</t>
  </si>
  <si>
    <t>IDN-0019</t>
  </si>
  <si>
    <t>Pakistan</t>
  </si>
  <si>
    <t>IDN-0020</t>
  </si>
  <si>
    <t>IDN-0021</t>
  </si>
  <si>
    <t>IDN-0022</t>
  </si>
  <si>
    <t>IDN-0023</t>
  </si>
  <si>
    <t>IDN-0024</t>
  </si>
  <si>
    <t>IDN-0025</t>
  </si>
  <si>
    <t>Malaysia</t>
  </si>
  <si>
    <t>Southeast Asia</t>
  </si>
  <si>
    <t>IDN-0026</t>
  </si>
  <si>
    <t>IDN-0027</t>
  </si>
  <si>
    <t>IDN-0028</t>
  </si>
  <si>
    <t>IDN-0029</t>
  </si>
  <si>
    <t>IDN-0030</t>
  </si>
  <si>
    <t>IDN-0031</t>
  </si>
  <si>
    <t>Coal</t>
  </si>
  <si>
    <t>27</t>
  </si>
  <si>
    <t>IDN-0032</t>
  </si>
  <si>
    <t>IDN-0033</t>
  </si>
  <si>
    <t>IDN-0034</t>
  </si>
  <si>
    <t>IDN-0035</t>
  </si>
  <si>
    <t>IDN-0036</t>
  </si>
  <si>
    <t>IDN-0037</t>
  </si>
  <si>
    <t>IDN-0038</t>
  </si>
  <si>
    <t>IDN-0039</t>
  </si>
  <si>
    <t>IDN-0040</t>
  </si>
  <si>
    <t>IDN-0041</t>
  </si>
  <si>
    <t>IDN-0042</t>
  </si>
  <si>
    <t>IDN-0043</t>
  </si>
  <si>
    <t>Japan</t>
  </si>
  <si>
    <t>IDN-0044</t>
  </si>
  <si>
    <t>IDN-0045</t>
  </si>
  <si>
    <t>IDN-0046</t>
  </si>
  <si>
    <t>IDN-0047</t>
  </si>
  <si>
    <t>IDN-0048</t>
  </si>
  <si>
    <t>IDN-0049</t>
  </si>
  <si>
    <t>South Korea</t>
  </si>
  <si>
    <t>IDN-0050</t>
  </si>
  <si>
    <t>IDN-0051</t>
  </si>
  <si>
    <t>IDN-0052</t>
  </si>
  <si>
    <t>IDN-0053</t>
  </si>
  <si>
    <t>IDN-0054</t>
  </si>
  <si>
    <t>IDN-0055</t>
  </si>
  <si>
    <t>Philippines</t>
  </si>
  <si>
    <t>IDN-0056</t>
  </si>
  <si>
    <t>IDN-0057</t>
  </si>
  <si>
    <t>IDN-0058</t>
  </si>
  <si>
    <t>IDN-0059</t>
  </si>
  <si>
    <t>IDN-0060</t>
  </si>
  <si>
    <t>IDN-0061</t>
  </si>
  <si>
    <t>Nickel Products</t>
  </si>
  <si>
    <t>75</t>
  </si>
  <si>
    <t>IDN-0062</t>
  </si>
  <si>
    <t>IDN-0063</t>
  </si>
  <si>
    <t>IDN-0064</t>
  </si>
  <si>
    <t>IDN-0065</t>
  </si>
  <si>
    <t>IDN-0066</t>
  </si>
  <si>
    <t>IDN-0067</t>
  </si>
  <si>
    <t>IDN-0068</t>
  </si>
  <si>
    <t>IDN-0069</t>
  </si>
  <si>
    <t>IDN-0070</t>
  </si>
  <si>
    <t>IDN-0071</t>
  </si>
  <si>
    <t>IDN-0072</t>
  </si>
  <si>
    <t>IDN-0073</t>
  </si>
  <si>
    <t>IDN-0074</t>
  </si>
  <si>
    <t>IDN-0075</t>
  </si>
  <si>
    <t>IDN-0076</t>
  </si>
  <si>
    <t>IDN-0077</t>
  </si>
  <si>
    <t>IDN-0078</t>
  </si>
  <si>
    <t>IDN-0079</t>
  </si>
  <si>
    <t>Rubber</t>
  </si>
  <si>
    <t>40</t>
  </si>
  <si>
    <t>IDN-0080</t>
  </si>
  <si>
    <t>IDN-0081</t>
  </si>
  <si>
    <t>IDN-0082</t>
  </si>
  <si>
    <t>IDN-0083</t>
  </si>
  <si>
    <t>IDN-0084</t>
  </si>
  <si>
    <t>IDN-0085</t>
  </si>
  <si>
    <t>USA</t>
  </si>
  <si>
    <t>Americas</t>
  </si>
  <si>
    <t>IDN-0086</t>
  </si>
  <si>
    <t>IDN-0087</t>
  </si>
  <si>
    <t>IDN-0088</t>
  </si>
  <si>
    <t>IDN-0089</t>
  </si>
  <si>
    <t>IDN-0090</t>
  </si>
  <si>
    <t>IDN-0091</t>
  </si>
  <si>
    <t>IDN-0092</t>
  </si>
  <si>
    <t>IDN-0093</t>
  </si>
  <si>
    <t>IDN-0094</t>
  </si>
  <si>
    <t>IDN-0095</t>
  </si>
  <si>
    <t>IDN-0096</t>
  </si>
  <si>
    <t>IDN-0097</t>
  </si>
  <si>
    <t>Crude Oil</t>
  </si>
  <si>
    <t>IDN-0098</t>
  </si>
  <si>
    <t>IDN-0099</t>
  </si>
  <si>
    <t>IDN-0100</t>
  </si>
  <si>
    <t>IDN-0101</t>
  </si>
  <si>
    <t>IDN-0102</t>
  </si>
  <si>
    <t>IDN-0103</t>
  </si>
  <si>
    <t>Singapore</t>
  </si>
  <si>
    <t>IDN-0104</t>
  </si>
  <si>
    <t>IDN-0105</t>
  </si>
  <si>
    <t>IDN-0106</t>
  </si>
  <si>
    <t>IDN-0107</t>
  </si>
  <si>
    <t>IDN-0108</t>
  </si>
  <si>
    <t>IDN-0109</t>
  </si>
  <si>
    <t>IDN-0110</t>
  </si>
  <si>
    <t>IDN-0111</t>
  </si>
  <si>
    <t>IDN-0112</t>
  </si>
  <si>
    <t>IDN-0113</t>
  </si>
  <si>
    <t>IDN-0114</t>
  </si>
  <si>
    <t>IDN-0115</t>
  </si>
  <si>
    <t>Coffee</t>
  </si>
  <si>
    <t>09</t>
  </si>
  <si>
    <t>IDN-0116</t>
  </si>
  <si>
    <t>IDN-0117</t>
  </si>
  <si>
    <t>IDN-0118</t>
  </si>
  <si>
    <t>IDN-0119</t>
  </si>
  <si>
    <t>IDN-0120</t>
  </si>
  <si>
    <t>IDN-0121</t>
  </si>
  <si>
    <t>IDN-0122</t>
  </si>
  <si>
    <t>IDN-0123</t>
  </si>
  <si>
    <t>IDN-0124</t>
  </si>
  <si>
    <t>IDN-0125</t>
  </si>
  <si>
    <t>IDN-0126</t>
  </si>
  <si>
    <t>IDN-0127</t>
  </si>
  <si>
    <t>IDN-0128</t>
  </si>
  <si>
    <t>IDN-0129</t>
  </si>
  <si>
    <t>IDN-0130</t>
  </si>
  <si>
    <t>IDN-0131</t>
  </si>
  <si>
    <t>IDN-0132</t>
  </si>
  <si>
    <t>IDN-0133</t>
  </si>
  <si>
    <t>Import</t>
  </si>
  <si>
    <t>Electronics</t>
  </si>
  <si>
    <t>85</t>
  </si>
  <si>
    <t>Air/Sea</t>
  </si>
  <si>
    <t>IDN-0134</t>
  </si>
  <si>
    <t>IDN-0135</t>
  </si>
  <si>
    <t>IDN-0136</t>
  </si>
  <si>
    <t>IDN-0137</t>
  </si>
  <si>
    <t>IDN-0138</t>
  </si>
  <si>
    <t>IDN-0139</t>
  </si>
  <si>
    <t>IDN-0140</t>
  </si>
  <si>
    <t>IDN-0141</t>
  </si>
  <si>
    <t>IDN-0142</t>
  </si>
  <si>
    <t>IDN-0143</t>
  </si>
  <si>
    <t>IDN-0144</t>
  </si>
  <si>
    <t>IDN-0145</t>
  </si>
  <si>
    <t>IDN-0146</t>
  </si>
  <si>
    <t>IDN-0147</t>
  </si>
  <si>
    <t>IDN-0148</t>
  </si>
  <si>
    <t>IDN-0149</t>
  </si>
  <si>
    <t>IDN-0150</t>
  </si>
  <si>
    <t>IDN-0151</t>
  </si>
  <si>
    <t>IDN-0152</t>
  </si>
  <si>
    <t>IDN-0153</t>
  </si>
  <si>
    <t>IDN-0154</t>
  </si>
  <si>
    <t>IDN-0155</t>
  </si>
  <si>
    <t>IDN-0156</t>
  </si>
  <si>
    <t>IDN-0157</t>
  </si>
  <si>
    <t>IDN-0158</t>
  </si>
  <si>
    <t>IDN-0159</t>
  </si>
  <si>
    <t>IDN-0160</t>
  </si>
  <si>
    <t>IDN-0161</t>
  </si>
  <si>
    <t>IDN-0162</t>
  </si>
  <si>
    <t>IDN-0163</t>
  </si>
  <si>
    <t>Machinery</t>
  </si>
  <si>
    <t>84</t>
  </si>
  <si>
    <t>IDN-0164</t>
  </si>
  <si>
    <t>IDN-0165</t>
  </si>
  <si>
    <t>IDN-0166</t>
  </si>
  <si>
    <t>IDN-0167</t>
  </si>
  <si>
    <t>IDN-0168</t>
  </si>
  <si>
    <t>IDN-0169</t>
  </si>
  <si>
    <t>IDN-0170</t>
  </si>
  <si>
    <t>IDN-0171</t>
  </si>
  <si>
    <t>IDN-0172</t>
  </si>
  <si>
    <t>IDN-0173</t>
  </si>
  <si>
    <t>IDN-0174</t>
  </si>
  <si>
    <t>IDN-0175</t>
  </si>
  <si>
    <t>Germany</t>
  </si>
  <si>
    <t>IDN-0176</t>
  </si>
  <si>
    <t>IDN-0177</t>
  </si>
  <si>
    <t>IDN-0178</t>
  </si>
  <si>
    <t>IDN-0179</t>
  </si>
  <si>
    <t>IDN-0180</t>
  </si>
  <si>
    <t>IDN-0181</t>
  </si>
  <si>
    <t>IDN-0182</t>
  </si>
  <si>
    <t>IDN-0183</t>
  </si>
  <si>
    <t>IDN-0184</t>
  </si>
  <si>
    <t>IDN-0185</t>
  </si>
  <si>
    <t>IDN-0186</t>
  </si>
  <si>
    <t>IDN-0187</t>
  </si>
  <si>
    <t>IDN-0188</t>
  </si>
  <si>
    <t>IDN-0189</t>
  </si>
  <si>
    <t>IDN-0190</t>
  </si>
  <si>
    <t>IDN-0191</t>
  </si>
  <si>
    <t>IDN-0192</t>
  </si>
  <si>
    <t>IDN-0193</t>
  </si>
  <si>
    <t>Petroleum Products</t>
  </si>
  <si>
    <t>IDN-0194</t>
  </si>
  <si>
    <t>IDN-0195</t>
  </si>
  <si>
    <t>IDN-0196</t>
  </si>
  <si>
    <t>IDN-0197</t>
  </si>
  <si>
    <t>IDN-0198</t>
  </si>
  <si>
    <t>IDN-0199</t>
  </si>
  <si>
    <t>IDN-0200</t>
  </si>
  <si>
    <t>IDN-0201</t>
  </si>
  <si>
    <t>IDN-0202</t>
  </si>
  <si>
    <t>IDN-0203</t>
  </si>
  <si>
    <t>IDN-0204</t>
  </si>
  <si>
    <t>IDN-0205</t>
  </si>
  <si>
    <t>Saudi Arabia</t>
  </si>
  <si>
    <t>Middle East</t>
  </si>
  <si>
    <t>IDN-0206</t>
  </si>
  <si>
    <t>IDN-0207</t>
  </si>
  <si>
    <t>IDN-0208</t>
  </si>
  <si>
    <t>IDN-0209</t>
  </si>
  <si>
    <t>IDN-0210</t>
  </si>
  <si>
    <t>IDN-0211</t>
  </si>
  <si>
    <t>Steel</t>
  </si>
  <si>
    <t>72</t>
  </si>
  <si>
    <t>IDN-0212</t>
  </si>
  <si>
    <t>IDN-0213</t>
  </si>
  <si>
    <t>IDN-0214</t>
  </si>
  <si>
    <t>IDN-0215</t>
  </si>
  <si>
    <t>IDN-0216</t>
  </si>
  <si>
    <t>IDN-0217</t>
  </si>
  <si>
    <t>IDN-0218</t>
  </si>
  <si>
    <t>IDN-0219</t>
  </si>
  <si>
    <t>IDN-0220</t>
  </si>
  <si>
    <t>IDN-0221</t>
  </si>
  <si>
    <t>IDN-0222</t>
  </si>
  <si>
    <t>IDN-0223</t>
  </si>
  <si>
    <t>IDN-0224</t>
  </si>
  <si>
    <t>IDN-0225</t>
  </si>
  <si>
    <t>IDN-0226</t>
  </si>
  <si>
    <t>IDN-0227</t>
  </si>
  <si>
    <t>IDN-0228</t>
  </si>
  <si>
    <t>IDN-0229</t>
  </si>
  <si>
    <t>Wheat</t>
  </si>
  <si>
    <t>10</t>
  </si>
  <si>
    <t>Australia</t>
  </si>
  <si>
    <t>Pacific</t>
  </si>
  <si>
    <t>IDN-0230</t>
  </si>
  <si>
    <t>IDN-0231</t>
  </si>
  <si>
    <t>IDN-0232</t>
  </si>
  <si>
    <t>IDN-0233</t>
  </si>
  <si>
    <t>IDN-0234</t>
  </si>
  <si>
    <t>IDN-0235</t>
  </si>
  <si>
    <t>Canada</t>
  </si>
  <si>
    <t>IDN-0236</t>
  </si>
  <si>
    <t>IDN-0237</t>
  </si>
  <si>
    <t>IDN-0238</t>
  </si>
  <si>
    <t>IDN-0239</t>
  </si>
  <si>
    <t>IDN-0240</t>
  </si>
  <si>
    <t>IDN-0241</t>
  </si>
  <si>
    <t>Ukraine</t>
  </si>
  <si>
    <t>IDN-0242</t>
  </si>
  <si>
    <t>IDN-0243</t>
  </si>
  <si>
    <t>IDN-0244</t>
  </si>
  <si>
    <t>IDN-0245</t>
  </si>
  <si>
    <t>IDN-0246</t>
  </si>
  <si>
    <t>IDN-0247</t>
  </si>
  <si>
    <t>Chemicals</t>
  </si>
  <si>
    <t>28</t>
  </si>
  <si>
    <t>IDN-0248</t>
  </si>
  <si>
    <t>IDN-0249</t>
  </si>
  <si>
    <t>IDN-0250</t>
  </si>
  <si>
    <t>IDN-0251</t>
  </si>
  <si>
    <t>IDN-0252</t>
  </si>
  <si>
    <t>IDN-0253</t>
  </si>
  <si>
    <t>IDN-0254</t>
  </si>
  <si>
    <t>IDN-0255</t>
  </si>
  <si>
    <t>IDN-0256</t>
  </si>
  <si>
    <t>IDN-0257</t>
  </si>
  <si>
    <t>IDN-0258</t>
  </si>
  <si>
    <t>IDN-0259</t>
  </si>
  <si>
    <t>IDN-0260</t>
  </si>
  <si>
    <t>IDN-0261</t>
  </si>
  <si>
    <t>IDN-0262</t>
  </si>
  <si>
    <t>IDN-0263</t>
  </si>
  <si>
    <t>IDN-0264</t>
  </si>
  <si>
    <t>Data profiling reveals the shape, completeness, and distribution of your dataset before any analysis begins.</t>
  </si>
  <si>
    <t xml:space="preserve">  A · COLUMN PROFILE  —  Data Types, Null Counts, Unique Values</t>
  </si>
  <si>
    <t>Column</t>
  </si>
  <si>
    <t>Data Type</t>
  </si>
  <si>
    <t>Non-Null Count</t>
  </si>
  <si>
    <t>Null Count</t>
  </si>
  <si>
    <t>Unique Values</t>
  </si>
  <si>
    <t>Sample Values</t>
  </si>
  <si>
    <t>Notes</t>
  </si>
  <si>
    <t>Text (ID)</t>
  </si>
  <si>
    <t>IDN-0001 … IDN-0264</t>
  </si>
  <si>
    <t>Primary key — unique per record</t>
  </si>
  <si>
    <t>Integer</t>
  </si>
  <si>
    <t>2019, 2020 … 2024</t>
  </si>
  <si>
    <t>Annual data, no gaps</t>
  </si>
  <si>
    <t>Categorical</t>
  </si>
  <si>
    <t>Export, Import</t>
  </si>
  <si>
    <t>Balanced: 132 each</t>
  </si>
  <si>
    <t>Palm Oil, Coal …</t>
  </si>
  <si>
    <t>6 export + 6 import commodities</t>
  </si>
  <si>
    <t>Text (Code)</t>
  </si>
  <si>
    <t>15, 27, 40 …</t>
  </si>
  <si>
    <t>Simplified 2-digit HS codes</t>
  </si>
  <si>
    <t>China, India …</t>
  </si>
  <si>
    <t>15 unique trading partners</t>
  </si>
  <si>
    <t>East Asia, Europe …</t>
  </si>
  <si>
    <t>Geographic grouping</t>
  </si>
  <si>
    <t>Numeric (USD M)</t>
  </si>
  <si>
    <t>n/a</t>
  </si>
  <si>
    <t>Continuous</t>
  </si>
  <si>
    <t>USD millions — all records populated</t>
  </si>
  <si>
    <t>Numeric (kMT)</t>
  </si>
  <si>
    <t>Thousand metric tonnes (derived)</t>
  </si>
  <si>
    <t>Numeric (USD/T)</t>
  </si>
  <si>
    <t>Price per metric tonne (varies by year)</t>
  </si>
  <si>
    <t>Sea, Air/Sea</t>
  </si>
  <si>
    <t>All sea freight dominant</t>
  </si>
  <si>
    <t xml:space="preserve">  B · NUMERIC SUMMARY — Descriptive Statistics for Key Measures</t>
  </si>
  <si>
    <t>Metric</t>
  </si>
  <si>
    <t>MIN</t>
  </si>
  <si>
    <t>MAX</t>
  </si>
  <si>
    <t>MEAN</t>
  </si>
  <si>
    <t>MEDIAN</t>
  </si>
  <si>
    <t>STDEV</t>
  </si>
  <si>
    <t>P25</t>
  </si>
  <si>
    <t>P75</t>
  </si>
  <si>
    <t>CV%</t>
  </si>
  <si>
    <t>Skew Note</t>
  </si>
  <si>
    <t>Analyst Takeaway</t>
  </si>
  <si>
    <t>Trade_Value (USD M)</t>
  </si>
  <si>
    <t>High spread; coal/nickel outliers push mean above median</t>
  </si>
  <si>
    <t>Volume (kMT)</t>
  </si>
  <si>
    <t>Right-skewed; coal volumes dominate upper quartile</t>
  </si>
  <si>
    <t>Unit Price (USD/MT)</t>
  </si>
  <si>
    <t>Bimodal: low bulk (coal/wheat) vs high value (nickel, electronics)</t>
  </si>
  <si>
    <t xml:space="preserve">  C · CATEGORICAL FREQUENCIES — Trade Type &amp; Commodity Distribution</t>
  </si>
  <si>
    <t>Trade Type</t>
  </si>
  <si>
    <t>Count</t>
  </si>
  <si>
    <t>% of Total</t>
  </si>
  <si>
    <t>Exports</t>
  </si>
  <si>
    <t>Imports</t>
  </si>
  <si>
    <t>STEP 2 · UNIVARIATE ANALYSIS — One Variable at a Time</t>
  </si>
  <si>
    <t>Examine each variable individually to understand its distribution before looking at relationships between variables.</t>
  </si>
  <si>
    <t xml:space="preserve">  U1 · TRADE VALUE (USD M) BY COMMODITY — All Years Combined</t>
  </si>
  <si>
    <t xml:space="preserve">  U3 · TRADING PARTNER FREQUENCY</t>
  </si>
  <si>
    <t>Type</t>
  </si>
  <si>
    <t>Total Value</t>
  </si>
  <si>
    <t>Mean/Record</t>
  </si>
  <si>
    <t>Min</t>
  </si>
  <si>
    <t>Max</t>
  </si>
  <si>
    <t>Std Dev</t>
  </si>
  <si>
    <t>Partner</t>
  </si>
  <si>
    <t>Records</t>
  </si>
  <si>
    <t xml:space="preserve">  U2 · VOLUME (kMT) DESCRIPTIVE STATS — All Years</t>
  </si>
  <si>
    <t>Total kMT</t>
  </si>
  <si>
    <t>Mean kMT</t>
  </si>
  <si>
    <t>Min kMT</t>
  </si>
  <si>
    <t>Max kMT</t>
  </si>
  <si>
    <t>YoY Volatility (STDEV)</t>
  </si>
  <si>
    <t>STEP 3 · BIVARIATE ANALYSIS — Relationships Between Variables</t>
  </si>
  <si>
    <t>Cross-tabulation reveals which commodity-partner combinations drive the most trade value, and where Indonesia's exposure is concentrated.</t>
  </si>
  <si>
    <t xml:space="preserve">  B1 · EXPORT VALUE MATRIX (USD M, All Years)  —  Commodity × Partner</t>
  </si>
  <si>
    <t xml:space="preserve">  B3 · CHINA DEPENDENCY ANALYSIS</t>
  </si>
  <si>
    <t>ROW TOTAL</t>
  </si>
  <si>
    <t>Value</t>
  </si>
  <si>
    <t>China share of total exports</t>
  </si>
  <si>
    <t>China share of total imports</t>
  </si>
  <si>
    <t>China total export value (USD M)</t>
  </si>
  <si>
    <t>China total import value (USD M)</t>
  </si>
  <si>
    <t>China trade balance (USD M)</t>
  </si>
  <si>
    <t>Top commodity to China (by value)</t>
  </si>
  <si>
    <t>Coal &amp; Nickel Products</t>
  </si>
  <si>
    <t>COL TOTAL</t>
  </si>
  <si>
    <t>Top commodity from China (by value)</t>
  </si>
  <si>
    <t>Machinery &amp; Electronics</t>
  </si>
  <si>
    <t xml:space="preserve">  B2 · IMPORT VALUE MATRIX (USD M, All Years)  —  Commodity × Partner</t>
  </si>
  <si>
    <t>STEP 4 · TIME SERIES ANALYSIS — Trends, Growth &amp; CAGR  2019–2024</t>
  </si>
  <si>
    <t>Time series analysis reveals growth trajectories, cyclicality, and structural shifts in trade flows over time.</t>
  </si>
  <si>
    <t xml:space="preserve">  T1 · ANNUAL TOTAL TRADE VALUE (USD M) — Exports vs Imports</t>
  </si>
  <si>
    <t>2019</t>
  </si>
  <si>
    <t>2020</t>
  </si>
  <si>
    <t>2021</t>
  </si>
  <si>
    <t>2022</t>
  </si>
  <si>
    <t>2023</t>
  </si>
  <si>
    <t>2024</t>
  </si>
  <si>
    <t>CAGR</t>
  </si>
  <si>
    <t>2020 YoY</t>
  </si>
  <si>
    <t>2021 YoY</t>
  </si>
  <si>
    <t>2022 YoY</t>
  </si>
  <si>
    <t>2023 YoY</t>
  </si>
  <si>
    <t>2024 YoY</t>
  </si>
  <si>
    <t>Trend Note</t>
  </si>
  <si>
    <t>Total Exports</t>
  </si>
  <si>
    <t>Total Imports</t>
  </si>
  <si>
    <t>Trade Balance</t>
  </si>
  <si>
    <t xml:space="preserve">  T2 · EXPORT COMMODITY TRENDS (USD M) — Year by Year</t>
  </si>
  <si>
    <t>Key Driver</t>
  </si>
  <si>
    <t>CPO price volatility</t>
  </si>
  <si>
    <t>2022 energy crisis spike</t>
  </si>
  <si>
    <t>EV battery demand surge</t>
  </si>
  <si>
    <t>Auto sector correlation</t>
  </si>
  <si>
    <t>Oil price &amp; depletion</t>
  </si>
  <si>
    <t>Arabica price premium</t>
  </si>
  <si>
    <t>STEP 5 · TRADE BALANCE ANALYSIS — Surplus, Deficit &amp; Partner Exposure</t>
  </si>
  <si>
    <t>Trade balance = Total Exports − Total Imports. Positive = surplus (Indonesia earns more than it spends).</t>
  </si>
  <si>
    <t xml:space="preserve">  TB1 · TRADE BALANCE BY PARTNER (USD M, All Years Combined)</t>
  </si>
  <si>
    <t>Trading Partner</t>
  </si>
  <si>
    <t>Balance %</t>
  </si>
  <si>
    <t>Position</t>
  </si>
  <si>
    <t>2024 Exports</t>
  </si>
  <si>
    <t>2024 Imports</t>
  </si>
  <si>
    <t>2024 Balance</t>
  </si>
  <si>
    <t>Trend 2019→2024</t>
  </si>
  <si>
    <t>Key Commodity</t>
  </si>
  <si>
    <t>Coal, Nickel</t>
  </si>
  <si>
    <t>Coal, Crude Oil</t>
  </si>
  <si>
    <t>Rubber, Coffee</t>
  </si>
  <si>
    <t>Crude Oil, Petro Prods</t>
  </si>
  <si>
    <t>Palm Oil, Coffee</t>
  </si>
  <si>
    <t>Palm Oil, Petro Prods</t>
  </si>
  <si>
    <t>Machinery, Chemicals</t>
  </si>
  <si>
    <t>ALL PARTNERS</t>
  </si>
  <si>
    <t>⚠️  ANALYST NOTE: Indonesia maintains a structural trade surplus with commodity importers (China, India, Japan) and a deficit with technology exporters (Germany, USA). This reflects Indonesia's role as a raw material exporter and manufactured goods importer — a key supply chain vulnerability.</t>
  </si>
  <si>
    <t>STEP 6 · KEY FINDINGS &amp; ANALYTICAL INSIGHTS</t>
  </si>
  <si>
    <t xml:space="preserve">  FINDING 1  ·  COMMODITY CONCENTRATION RISK</t>
  </si>
  <si>
    <t>Summary</t>
  </si>
  <si>
    <t>Indonesia's exports are dominated by just three commodities — Coal, Palm Oil, and Nickel Products — which together account for over 75% of total export value in the dataset. This concentration exposes Indonesia's trade balance to severe volatility when global commodity prices shift.</t>
  </si>
  <si>
    <t>Data Evidence</t>
  </si>
  <si>
    <t>Coal exports spiked 165% in 2022 due to the European energy crisis, then contracted 37% by 2024. Nickel grew 374% over the period due to EV battery demand — but this masks the underlying dependency risk.</t>
  </si>
  <si>
    <t>Supply Chain Implication</t>
  </si>
  <si>
    <t>Supply chain implication: Countries and companies that source from Indonesia carry concentrated commodity exposure. A single regulatory change (e.g., Indonesia's 2020 nickel ore export ban) can disrupt global supply chains almost overnight.</t>
  </si>
  <si>
    <t xml:space="preserve">  FINDING 2  ·  CHINA BILATERAL DEPENDENCY</t>
  </si>
  <si>
    <t>China is Indonesia's single largest trading partner, accounting for approximately 30-35% of both exports and imports in the dataset. This bilateral concentration creates significant geopolitical and economic dependency risk on both sides.</t>
  </si>
  <si>
    <t>Indonesia exports Coal, Nickel, and Palm Oil to China while importing Electronics and Machinery. The relationship is structurally complementary but asymmetric — China's demand decisions directly set Indonesian export revenue.</t>
  </si>
  <si>
    <t>Supply chain implication: Any disruption in China-Indonesia relations, or a slowdown in Chinese manufacturing output, creates immediate upstream shortages for global supply chains dependent on Indonesian raw materials processed in China.</t>
  </si>
  <si>
    <t xml:space="preserve">  FINDING 3  ·  POST-COVID COMMODITY SUPERCYCLE</t>
  </si>
  <si>
    <t>The 2021-2022 period shows a sharp broad-based spike across almost all Indonesian export commodities simultaneously — a 'supercycle' effect driven by supply chain disruptions, energy shortages, and post-COVID restocking demand.</t>
  </si>
  <si>
    <t>Total export value grew approximately 58% from 2020 to 2022. Commodity prices amplified this — especially coal (&gt;$300/MT in 2022 vs $65 in 2020) and nickel (&gt;$26,000/MT peak). Volume growth was more modest, meaning price was the dominant driver.</t>
  </si>
  <si>
    <t>Supply chain implication: Price-volume decomposition is critical in trade analysis. A 58% value increase driven primarily by price is more fragile than one driven by volume — prices mean-revert, trade relationships do not. 2023-2024 data confirms this normalisation.</t>
  </si>
  <si>
    <t xml:space="preserve">  FINDING 4  ·  STRUCTURAL TRADE IMBALANCE BY SECTOR</t>
  </si>
  <si>
    <t>Indonesia runs consistent surpluses with commodity-importing nations (India, Japan, South Korea) and consistent deficits with technology-exporting nations (Germany, USA, Japan for machinery). This reveals Indonesia's position in global value chains: upstream raw material supplier, downstream finished goods buyer.</t>
  </si>
  <si>
    <t>The technology import bill (Electronics + Machinery = ~40% of total imports) is effectively subsidised by commodity export revenues. Indonesia's trade balance remains positive overall, but this masks the structural value-add gap between what it exports and what it imports.</t>
  </si>
  <si>
    <t>Supply chain implication: Indonesia is locked in the lower rungs of global value chains. The government's downstream processing push (nickel smelting, palm oil refining) is a direct response — and represents the key structural shift to monitor in future datasets.</t>
  </si>
  <si>
    <t>BPS Indonesia, UN Comtrade, and World Bank trade statistics 2019-2024</t>
  </si>
  <si>
    <t>🇮🇩  INDONESIA TRADE FLOW DASHBOARD  ·  FY2019–2024</t>
  </si>
  <si>
    <t>Exploratory Data Analysis  |  Source: DATA_TABLE sheet  |  All values in USD millions</t>
  </si>
  <si>
    <t>TOTAL EXPORT VALUE</t>
  </si>
  <si>
    <t>TOTAL IMPORT VALUE</t>
  </si>
  <si>
    <t>TRADE SURPLUS</t>
  </si>
  <si>
    <t>TOP EXPORT</t>
  </si>
  <si>
    <t>TOP PARTNER</t>
  </si>
  <si>
    <t>NICKEL CAGR</t>
  </si>
  <si>
    <t>Coal &amp; Nickel</t>
  </si>
  <si>
    <t>USD M</t>
  </si>
  <si>
    <t>by value</t>
  </si>
  <si>
    <t>30%+ share</t>
  </si>
  <si>
    <t>2019–24</t>
  </si>
  <si>
    <t>Annual Trade</t>
  </si>
  <si>
    <t>By Commodity</t>
  </si>
  <si>
    <t>By Partner</t>
  </si>
  <si>
    <t>Nickel Trend</t>
  </si>
  <si>
    <t>Nickel Export</t>
  </si>
  <si>
    <t>trends and trade balance calculations</t>
  </si>
  <si>
    <t>This workbook conducts a structured Exploratory Data Analysis (EDA) on Indonesia's international trade</t>
  </si>
  <si>
    <t xml:space="preserve">STEP 1 · DATA PROFILE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</si>
</sst>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i/>
      <sz val="10"/>
      <color rgb="FFFFFFFF"/>
      <name val="Arial"/>
      <charset val="1"/>
    </font>
    <font>
      <b/>
      <i/>
      <sz val="9"/>
      <color rgb="FF1B3A6B"/>
      <name val="Arial"/>
      <charset val="1"/>
    </font>
    <font>
      <b/>
      <sz val="10"/>
      <color rgb="FFFFFFFF"/>
      <name val="Arial"/>
      <charset val="1"/>
    </font>
    <font>
      <sz val="9"/>
      <color rgb="FF374151"/>
      <name val="Arial"/>
      <charset val="1"/>
    </font>
    <font>
      <b/>
      <sz val="9"/>
      <color rgb="FFFFFFFF"/>
      <name val="Arial"/>
      <charset val="1"/>
    </font>
    <font>
      <b/>
      <sz val="9"/>
      <color rgb="FF1B3A6B"/>
      <name val="Arial"/>
      <charset val="1"/>
    </font>
    <font>
      <i/>
      <sz val="8"/>
      <color rgb="FF374151"/>
      <name val="Arial"/>
      <charset val="1"/>
    </font>
    <font>
      <b/>
      <sz val="10"/>
      <color rgb="FF1B3A6B"/>
      <name val="Arial"/>
      <charset val="1"/>
    </font>
    <font>
      <b/>
      <sz val="13"/>
      <color rgb="FFFFFFFF"/>
      <name val="Arial"/>
      <charset val="1"/>
    </font>
    <font>
      <b/>
      <i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A7A4A"/>
      <name val="Arial"/>
      <charset val="1"/>
    </font>
    <font>
      <b/>
      <sz val="9"/>
      <color rgb="FFB7472A"/>
      <name val="Arial"/>
      <charset val="1"/>
    </font>
    <font>
      <sz val="9"/>
      <color rgb="FF1A7A4A"/>
      <name val="Arial"/>
      <charset val="1"/>
    </font>
    <font>
      <sz val="9"/>
      <color rgb="FFB7472A"/>
      <name val="Arial"/>
      <charset val="1"/>
    </font>
    <font>
      <b/>
      <i/>
      <sz val="9"/>
      <color rgb="FF374151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10"/>
      <color rgb="FFB7472A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B7472A"/>
      <name val="Arial"/>
      <charset val="1"/>
    </font>
    <font>
      <b/>
      <sz val="8"/>
      <color rgb="FF1B3A6B"/>
      <name val="Arial"/>
      <charset val="1"/>
    </font>
    <font>
      <b/>
      <sz val="8"/>
      <color rgb="FF0D7377"/>
      <name val="Arial"/>
      <charset val="1"/>
    </font>
    <font>
      <b/>
      <sz val="8"/>
      <color rgb="FFC8952A"/>
      <name val="Arial"/>
      <charset val="1"/>
    </font>
    <font>
      <b/>
      <sz val="9"/>
      <color rgb="FFFFFFFF"/>
      <name val="Arial"/>
      <family val="2"/>
    </font>
    <font>
      <b/>
      <sz val="10"/>
      <color rgb="FFB7472A"/>
      <name val="Arial"/>
      <family val="2"/>
    </font>
    <font>
      <sz val="10"/>
      <color rgb="FF374151"/>
      <name val="Arial"/>
      <family val="2"/>
    </font>
    <font>
      <b/>
      <sz val="18"/>
      <color rgb="FFFFFFFF"/>
      <name val="Arial"/>
      <charset val="1"/>
    </font>
    <font>
      <b/>
      <sz val="8"/>
      <color rgb="FF1A7A4A"/>
      <name val="Arial"/>
      <charset val="1"/>
    </font>
    <font>
      <b/>
      <sz val="18"/>
      <color rgb="FF0D7377"/>
      <name val="Arial"/>
      <charset val="1"/>
    </font>
    <font>
      <b/>
      <sz val="18"/>
      <color rgb="FFB7472A"/>
      <name val="Arial"/>
      <charset val="1"/>
    </font>
    <font>
      <b/>
      <sz val="18"/>
      <color rgb="FF1A7A4A"/>
      <name val="Arial"/>
      <charset val="1"/>
    </font>
    <font>
      <b/>
      <sz val="18"/>
      <color rgb="FFC8952A"/>
      <name val="Arial"/>
      <charset val="1"/>
    </font>
    <font>
      <b/>
      <sz val="18"/>
      <color rgb="FF1B3A6B"/>
      <name val="Arial"/>
      <charset val="1"/>
    </font>
    <font>
      <i/>
      <sz val="8"/>
      <color rgb="FF0D7377"/>
      <name val="Arial"/>
      <charset val="1"/>
    </font>
    <font>
      <i/>
      <sz val="8"/>
      <color rgb="FFB7472A"/>
      <name val="Arial"/>
      <charset val="1"/>
    </font>
    <font>
      <i/>
      <sz val="8"/>
      <color rgb="FF1A7A4A"/>
      <name val="Arial"/>
      <charset val="1"/>
    </font>
    <font>
      <i/>
      <sz val="8"/>
      <color rgb="FFC8952A"/>
      <name val="Arial"/>
      <charset val="1"/>
    </font>
    <font>
      <i/>
      <sz val="8"/>
      <color rgb="FF1B3A6B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74151"/>
      </patternFill>
    </fill>
    <fill>
      <patternFill patternType="solid">
        <fgColor rgb="FF0D7377"/>
        <bgColor rgb="FF1A7A4A"/>
      </patternFill>
    </fill>
    <fill>
      <patternFill patternType="solid">
        <fgColor rgb="FFC8952A"/>
        <bgColor rgb="FFDB8238"/>
      </patternFill>
    </fill>
    <fill>
      <patternFill patternType="solid">
        <fgColor rgb="FFD6E4F7"/>
        <bgColor rgb="FFD0F0EE"/>
      </patternFill>
    </fill>
    <fill>
      <patternFill patternType="solid">
        <fgColor rgb="FFD0F0EE"/>
        <bgColor rgb="FFD6E4F7"/>
      </patternFill>
    </fill>
    <fill>
      <patternFill patternType="solid">
        <fgColor rgb="FFFEF3E2"/>
        <bgColor rgb="FFFDECEA"/>
      </patternFill>
    </fill>
    <fill>
      <patternFill patternType="solid">
        <fgColor rgb="FFF4F6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374151"/>
        <bgColor rgb="FF1B3A6B"/>
      </patternFill>
    </fill>
    <fill>
      <patternFill patternType="solid">
        <fgColor rgb="FFB7472A"/>
        <bgColor rgb="FFAA433F"/>
      </patternFill>
    </fill>
    <fill>
      <patternFill patternType="solid">
        <fgColor rgb="FFFDECEA"/>
        <bgColor rgb="FFFEF3E2"/>
      </patternFill>
    </fill>
    <fill>
      <patternFill patternType="solid">
        <fgColor rgb="FFB7472A"/>
        <bgColor rgb="FF993366"/>
      </patternFill>
    </fill>
    <fill>
      <patternFill patternType="solid">
        <fgColor rgb="FF1A7A4A"/>
        <bgColor rgb="FF0D7377"/>
      </patternFill>
    </fill>
    <fill>
      <patternFill patternType="solid">
        <fgColor rgb="FFC8952A"/>
        <bgColor rgb="FFFF8080"/>
      </patternFill>
    </fill>
  </fills>
  <borders count="5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  <border>
      <left style="thin">
        <color rgb="FFC0C8D8"/>
      </left>
      <right/>
      <top style="thin">
        <color rgb="FFC0C8D8"/>
      </top>
      <bottom style="thin">
        <color rgb="FFC0C8D8"/>
      </bottom>
      <diagonal/>
    </border>
    <border>
      <left/>
      <right style="thin">
        <color rgb="FFC0C8D8"/>
      </right>
      <top style="thin">
        <color rgb="FFC0C8D8"/>
      </top>
      <bottom style="thin">
        <color rgb="FFC0C8D8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8" fillId="8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164" fontId="12" fillId="8" borderId="1" xfId="0" applyNumberFormat="1" applyFont="1" applyFill="1" applyBorder="1" applyAlignment="1">
      <alignment horizontal="center" vertical="center"/>
    </xf>
    <xf numFmtId="3" fontId="12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164" fontId="12" fillId="9" borderId="1" xfId="0" applyNumberFormat="1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7" fillId="8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3" fontId="5" fillId="6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3" fontId="19" fillId="7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" fontId="19" fillId="5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5" fontId="12" fillId="7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3" fontId="13" fillId="6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28" fillId="12" borderId="1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vertical="center"/>
    </xf>
    <xf numFmtId="0" fontId="20" fillId="12" borderId="3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/>
    </xf>
    <xf numFmtId="0" fontId="29" fillId="8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" fillId="11" borderId="1" xfId="0" applyFont="1" applyFill="1" applyBorder="1" applyAlignment="1">
      <alignment horizont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2" fillId="0" borderId="0" xfId="0" applyFont="1"/>
    <xf numFmtId="3" fontId="15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15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37" fillId="3" borderId="4" xfId="0" applyFont="1" applyFill="1" applyBorder="1" applyAlignment="1">
      <alignment horizontal="center" vertical="center"/>
    </xf>
    <xf numFmtId="0" fontId="38" fillId="13" borderId="4" xfId="0" applyFont="1" applyFill="1" applyBorder="1" applyAlignment="1">
      <alignment horizontal="center" vertical="center"/>
    </xf>
    <xf numFmtId="0" fontId="39" fillId="14" borderId="4" xfId="0" applyFont="1" applyFill="1" applyBorder="1" applyAlignment="1">
      <alignment horizontal="center" vertical="center"/>
    </xf>
    <xf numFmtId="0" fontId="40" fillId="15" borderId="4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3" fontId="32" fillId="6" borderId="4" xfId="0" applyNumberFormat="1" applyFont="1" applyFill="1" applyBorder="1" applyAlignment="1">
      <alignment horizontal="center" vertical="center"/>
    </xf>
    <xf numFmtId="3" fontId="33" fillId="12" borderId="4" xfId="0" applyNumberFormat="1" applyFont="1" applyFill="1" applyBorder="1" applyAlignment="1">
      <alignment horizontal="center" vertical="center"/>
    </xf>
    <xf numFmtId="3" fontId="34" fillId="6" borderId="4" xfId="0" applyNumberFormat="1" applyFont="1" applyFill="1" applyBorder="1" applyAlignment="1">
      <alignment horizontal="center" vertical="center"/>
    </xf>
    <xf numFmtId="49" fontId="35" fillId="7" borderId="4" xfId="0" applyNumberFormat="1" applyFont="1" applyFill="1" applyBorder="1" applyAlignment="1">
      <alignment horizontal="center" vertical="center"/>
    </xf>
    <xf numFmtId="49" fontId="36" fillId="5" borderId="4" xfId="0" applyNumberFormat="1" applyFont="1" applyFill="1" applyBorder="1" applyAlignment="1">
      <alignment horizontal="center" vertical="center"/>
    </xf>
    <xf numFmtId="165" fontId="33" fillId="12" borderId="4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 vertical="center"/>
    </xf>
    <xf numFmtId="165" fontId="20" fillId="12" borderId="1" xfId="0" applyNumberFormat="1" applyFont="1" applyFill="1" applyBorder="1" applyAlignment="1">
      <alignment horizontal="center" vertical="center"/>
    </xf>
    <xf numFmtId="164" fontId="20" fillId="1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2" fillId="4" borderId="0" xfId="0" applyFont="1" applyFill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D7377"/>
      <rgbColor rgb="FFC0C8D8"/>
      <rgbColor rgb="FF878787"/>
      <rgbColor rgb="FF8EA5CA"/>
      <rgbColor rgb="FFAA433F"/>
      <rgbColor rgb="FFFEF3E2"/>
      <rgbColor rgb="FFD0F0EE"/>
      <rgbColor rgb="FF660066"/>
      <rgbColor rgb="FFCC8F8E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D6E4F7"/>
      <rgbColor rgb="FFF4F6F9"/>
      <rgbColor rgb="FFFDECEA"/>
      <rgbColor rgb="FF8CBFD2"/>
      <rgbColor rgb="FFF9F9F9"/>
      <rgbColor rgb="FFCC99FF"/>
      <rgbColor rgb="FFF5B089"/>
      <rgbColor rgb="FF426FA6"/>
      <rgbColor rgb="FF33CCCC"/>
      <rgbColor rgb="FFB3C992"/>
      <rgbColor rgb="FFFFCC00"/>
      <rgbColor rgb="FFDB8238"/>
      <rgbColor rgb="FFC8952A"/>
      <rgbColor rgb="FF6F568D"/>
      <rgbColor rgb="FFA596B9"/>
      <rgbColor rgb="FF1B3A6B"/>
      <rgbColor rgb="FF3D97AF"/>
      <rgbColor rgb="FF003300"/>
      <rgbColor rgb="FF333300"/>
      <rgbColor rgb="FFB7472A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Annual Trade Value: Exports vs Imports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[1]DASHBOARD!$B$9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[1]DASHBOARD!$A$10:$A$15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[1]DASHBOARD!$B$10:$B$15</c:f>
              <c:numCache>
                <c:formatCode>General</c:formatCode>
                <c:ptCount val="6"/>
                <c:pt idx="0">
                  <c:v>47442</c:v>
                </c:pt>
                <c:pt idx="1">
                  <c:v>37208</c:v>
                </c:pt>
                <c:pt idx="2">
                  <c:v>57636</c:v>
                </c:pt>
                <c:pt idx="3">
                  <c:v>86916</c:v>
                </c:pt>
                <c:pt idx="4">
                  <c:v>75926</c:v>
                </c:pt>
                <c:pt idx="5">
                  <c:v>74390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F-4F3E-AC0B-7ECFAD11703B}"/>
            </c:ext>
          </c:extLst>
        </c:ser>
        <c:ser>
          <c:idx val="1"/>
          <c:order val="1"/>
          <c:tx>
            <c:strRef>
              <c:f>[1]DASHBOARD!$C$9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rgbClr val="B7472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[1]DASHBOARD!$A$10:$A$15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[1]DASHBOARD!$C$10:$C$15</c:f>
              <c:numCache>
                <c:formatCode>General</c:formatCode>
                <c:ptCount val="6"/>
                <c:pt idx="0">
                  <c:v>41620</c:v>
                </c:pt>
                <c:pt idx="1">
                  <c:v>32570</c:v>
                </c:pt>
                <c:pt idx="2">
                  <c:v>43060</c:v>
                </c:pt>
                <c:pt idx="3">
                  <c:v>53770</c:v>
                </c:pt>
                <c:pt idx="4">
                  <c:v>48540</c:v>
                </c:pt>
                <c:pt idx="5">
                  <c:v>53510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F-4F3E-AC0B-7ECFAD11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32425"/>
        <c:axId val="6588928"/>
      </c:barChart>
      <c:catAx>
        <c:axId val="958324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8928"/>
        <c:crosses val="autoZero"/>
        <c:auto val="1"/>
        <c:lblAlgn val="ctr"/>
        <c:lblOffset val="100"/>
        <c:noMultiLvlLbl val="0"/>
      </c:catAx>
      <c:valAx>
        <c:axId val="6588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324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Trade Value by Commodity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[1]DASHBOARD!$F$9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rgbClr val="C8952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[1]DASHBOARD!$E$10:$E$21</c:f>
              <c:strCache>
                <c:ptCount val="12"/>
                <c:pt idx="0">
                  <c:v>Palm Oil</c:v>
                </c:pt>
                <c:pt idx="1">
                  <c:v>Coal</c:v>
                </c:pt>
                <c:pt idx="2">
                  <c:v>Nickel Products</c:v>
                </c:pt>
                <c:pt idx="3">
                  <c:v>Rubber</c:v>
                </c:pt>
                <c:pt idx="4">
                  <c:v>Crude Oil</c:v>
                </c:pt>
                <c:pt idx="5">
                  <c:v>Coffee</c:v>
                </c:pt>
                <c:pt idx="6">
                  <c:v>Electronics</c:v>
                </c:pt>
                <c:pt idx="7">
                  <c:v>Machinery</c:v>
                </c:pt>
                <c:pt idx="8">
                  <c:v>Petroleum Products</c:v>
                </c:pt>
                <c:pt idx="9">
                  <c:v>Steel</c:v>
                </c:pt>
                <c:pt idx="10">
                  <c:v>Wheat</c:v>
                </c:pt>
                <c:pt idx="11">
                  <c:v>Chemicals</c:v>
                </c:pt>
              </c:strCache>
            </c:strRef>
          </c:cat>
          <c:val>
            <c:numRef>
              <c:f>[1]DASHBOARD!$F$10:$F$21</c:f>
              <c:numCache>
                <c:formatCode>General</c:formatCode>
                <c:ptCount val="12"/>
                <c:pt idx="0">
                  <c:v>88270</c:v>
                </c:pt>
                <c:pt idx="1">
                  <c:v>148610</c:v>
                </c:pt>
                <c:pt idx="2">
                  <c:v>79130</c:v>
                </c:pt>
                <c:pt idx="3">
                  <c:v>20330</c:v>
                </c:pt>
                <c:pt idx="4">
                  <c:v>37720</c:v>
                </c:pt>
                <c:pt idx="5">
                  <c:v>5458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4-4A5D-9B83-A0801EBB30F1}"/>
            </c:ext>
          </c:extLst>
        </c:ser>
        <c:ser>
          <c:idx val="1"/>
          <c:order val="1"/>
          <c:tx>
            <c:strRef>
              <c:f>[1]DASHBOARD!$G$9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[1]DASHBOARD!$E$10:$E$21</c:f>
              <c:strCache>
                <c:ptCount val="12"/>
                <c:pt idx="0">
                  <c:v>Palm Oil</c:v>
                </c:pt>
                <c:pt idx="1">
                  <c:v>Coal</c:v>
                </c:pt>
                <c:pt idx="2">
                  <c:v>Nickel Products</c:v>
                </c:pt>
                <c:pt idx="3">
                  <c:v>Rubber</c:v>
                </c:pt>
                <c:pt idx="4">
                  <c:v>Crude Oil</c:v>
                </c:pt>
                <c:pt idx="5">
                  <c:v>Coffee</c:v>
                </c:pt>
                <c:pt idx="6">
                  <c:v>Electronics</c:v>
                </c:pt>
                <c:pt idx="7">
                  <c:v>Machinery</c:v>
                </c:pt>
                <c:pt idx="8">
                  <c:v>Petroleum Products</c:v>
                </c:pt>
                <c:pt idx="9">
                  <c:v>Steel</c:v>
                </c:pt>
                <c:pt idx="10">
                  <c:v>Wheat</c:v>
                </c:pt>
                <c:pt idx="11">
                  <c:v>Chemicals</c:v>
                </c:pt>
              </c:strCache>
            </c:strRef>
          </c:cat>
          <c:val>
            <c:numRef>
              <c:f>[1]DASHBOARD!$G$10:$G$21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71260</c:v>
                </c:pt>
                <c:pt idx="7">
                  <c:v>84900</c:v>
                </c:pt>
                <c:pt idx="8">
                  <c:v>43220</c:v>
                </c:pt>
                <c:pt idx="9">
                  <c:v>35040</c:v>
                </c:pt>
                <c:pt idx="10">
                  <c:v>14170</c:v>
                </c:pt>
                <c:pt idx="11">
                  <c:v>24480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4-4A5D-9B83-A0801EBB3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4754"/>
        <c:axId val="16592745"/>
      </c:barChart>
      <c:catAx>
        <c:axId val="233547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92745"/>
        <c:crosses val="autoZero"/>
        <c:auto val="1"/>
        <c:lblAlgn val="ctr"/>
        <c:lblOffset val="100"/>
        <c:noMultiLvlLbl val="0"/>
      </c:catAx>
      <c:valAx>
        <c:axId val="165927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54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Nickel Products Export Growth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[1]DASHBOARD!$N$9</c:f>
              <c:strCache>
                <c:ptCount val="1"/>
                <c:pt idx="0">
                  <c:v>Nickel Export</c:v>
                </c:pt>
              </c:strCache>
            </c:strRef>
          </c:tx>
          <c:spPr>
            <a:ln w="24840">
              <a:solidFill>
                <a:srgbClr val="B7472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[1]DASHBOARD!$M$10:$M$15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[1]DASHBOARD!$N$10:$N$15</c:f>
              <c:numCache>
                <c:formatCode>General</c:formatCode>
                <c:ptCount val="6"/>
                <c:pt idx="0">
                  <c:v>4880</c:v>
                </c:pt>
                <c:pt idx="1">
                  <c:v>5790</c:v>
                </c:pt>
                <c:pt idx="2">
                  <c:v>9220</c:v>
                </c:pt>
                <c:pt idx="3">
                  <c:v>15270</c:v>
                </c:pt>
                <c:pt idx="4">
                  <c:v>20980</c:v>
                </c:pt>
                <c:pt idx="5">
                  <c:v>22990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A3-45C2-BE04-F3F40BE85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962655"/>
        <c:axId val="91580051"/>
      </c:lineChart>
      <c:catAx>
        <c:axId val="889626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80051"/>
        <c:crosses val="autoZero"/>
        <c:auto val="1"/>
        <c:lblAlgn val="ctr"/>
        <c:lblOffset val="100"/>
        <c:noMultiLvlLbl val="0"/>
      </c:catAx>
      <c:valAx>
        <c:axId val="91580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62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Trade Value by Partner — Top 10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[1]DASHBOARD!$J$9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[1]DASHBOARD!$I$10:$I$19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Singapore</c:v>
                </c:pt>
                <c:pt idx="4">
                  <c:v>South Korea</c:v>
                </c:pt>
                <c:pt idx="5">
                  <c:v>USA</c:v>
                </c:pt>
                <c:pt idx="6">
                  <c:v>EU</c:v>
                </c:pt>
                <c:pt idx="7">
                  <c:v>Malaysia</c:v>
                </c:pt>
                <c:pt idx="8">
                  <c:v>Germany</c:v>
                </c:pt>
                <c:pt idx="9">
                  <c:v>Australia</c:v>
                </c:pt>
              </c:strCache>
            </c:strRef>
          </c:cat>
          <c:val>
            <c:numRef>
              <c:f>[1]DASHBOARD!$J$10:$J$19</c:f>
              <c:numCache>
                <c:formatCode>General</c:formatCode>
                <c:ptCount val="10"/>
                <c:pt idx="0">
                  <c:v>166040</c:v>
                </c:pt>
                <c:pt idx="1">
                  <c:v>66950</c:v>
                </c:pt>
                <c:pt idx="2">
                  <c:v>53254</c:v>
                </c:pt>
                <c:pt idx="3">
                  <c:v>10520</c:v>
                </c:pt>
                <c:pt idx="4">
                  <c:v>30340</c:v>
                </c:pt>
                <c:pt idx="5">
                  <c:v>7908</c:v>
                </c:pt>
                <c:pt idx="6">
                  <c:v>16356</c:v>
                </c:pt>
                <c:pt idx="7">
                  <c:v>6090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6-4EFF-AC74-B297B33FB06A}"/>
            </c:ext>
          </c:extLst>
        </c:ser>
        <c:ser>
          <c:idx val="1"/>
          <c:order val="1"/>
          <c:tx>
            <c:strRef>
              <c:f>[1]DASHBOARD!$K$9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rgbClr val="C8952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[1]DASHBOARD!$I$10:$I$19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Singapore</c:v>
                </c:pt>
                <c:pt idx="4">
                  <c:v>South Korea</c:v>
                </c:pt>
                <c:pt idx="5">
                  <c:v>USA</c:v>
                </c:pt>
                <c:pt idx="6">
                  <c:v>EU</c:v>
                </c:pt>
                <c:pt idx="7">
                  <c:v>Malaysia</c:v>
                </c:pt>
                <c:pt idx="8">
                  <c:v>Germany</c:v>
                </c:pt>
                <c:pt idx="9">
                  <c:v>Australia</c:v>
                </c:pt>
              </c:strCache>
            </c:strRef>
          </c:cat>
          <c:val>
            <c:numRef>
              <c:f>[1]DASHBOARD!$K$10:$K$19</c:f>
              <c:numCache>
                <c:formatCode>General</c:formatCode>
                <c:ptCount val="10"/>
                <c:pt idx="0">
                  <c:v>101860</c:v>
                </c:pt>
                <c:pt idx="1">
                  <c:v>0</c:v>
                </c:pt>
                <c:pt idx="2">
                  <c:v>35760</c:v>
                </c:pt>
                <c:pt idx="3">
                  <c:v>50520</c:v>
                </c:pt>
                <c:pt idx="4">
                  <c:v>17260</c:v>
                </c:pt>
                <c:pt idx="5">
                  <c:v>16140</c:v>
                </c:pt>
                <c:pt idx="6">
                  <c:v>0</c:v>
                </c:pt>
                <c:pt idx="7">
                  <c:v>11640</c:v>
                </c:pt>
                <c:pt idx="8">
                  <c:v>16780</c:v>
                </c:pt>
                <c:pt idx="9">
                  <c:v>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6-4EFF-AC74-B297B33F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43434"/>
        <c:axId val="79167812"/>
      </c:barChart>
      <c:catAx>
        <c:axId val="752434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67812"/>
        <c:crosses val="autoZero"/>
        <c:auto val="1"/>
        <c:lblAlgn val="ctr"/>
        <c:lblOffset val="100"/>
        <c:noMultiLvlLbl val="0"/>
      </c:catAx>
      <c:valAx>
        <c:axId val="791678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43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Trade Value by Commodity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UNIVARIATE!$C$5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UNIVARIATE!$A$6:$A$17</c:f>
              <c:strCache>
                <c:ptCount val="12"/>
                <c:pt idx="0">
                  <c:v>Palm Oil</c:v>
                </c:pt>
                <c:pt idx="1">
                  <c:v>Coal</c:v>
                </c:pt>
                <c:pt idx="2">
                  <c:v>Nickel Products</c:v>
                </c:pt>
                <c:pt idx="3">
                  <c:v>Rubber</c:v>
                </c:pt>
                <c:pt idx="4">
                  <c:v>Crude Oil</c:v>
                </c:pt>
                <c:pt idx="5">
                  <c:v>Coffee</c:v>
                </c:pt>
                <c:pt idx="6">
                  <c:v>Electronics</c:v>
                </c:pt>
                <c:pt idx="7">
                  <c:v>Machinery</c:v>
                </c:pt>
                <c:pt idx="8">
                  <c:v>Petroleum Products</c:v>
                </c:pt>
                <c:pt idx="9">
                  <c:v>Steel</c:v>
                </c:pt>
                <c:pt idx="10">
                  <c:v>Wheat</c:v>
                </c:pt>
                <c:pt idx="11">
                  <c:v>Chemicals</c:v>
                </c:pt>
              </c:strCache>
            </c:strRef>
          </c:cat>
          <c:val>
            <c:numRef>
              <c:f>UNIVARIATE!$C$6:$C$17</c:f>
              <c:numCache>
                <c:formatCode>#,##0.0</c:formatCode>
                <c:ptCount val="12"/>
                <c:pt idx="0">
                  <c:v>88270</c:v>
                </c:pt>
                <c:pt idx="1">
                  <c:v>148610</c:v>
                </c:pt>
                <c:pt idx="2">
                  <c:v>79130</c:v>
                </c:pt>
                <c:pt idx="3">
                  <c:v>20330</c:v>
                </c:pt>
                <c:pt idx="4">
                  <c:v>37720</c:v>
                </c:pt>
                <c:pt idx="5">
                  <c:v>5458</c:v>
                </c:pt>
                <c:pt idx="6">
                  <c:v>71260</c:v>
                </c:pt>
                <c:pt idx="7">
                  <c:v>84900</c:v>
                </c:pt>
                <c:pt idx="8">
                  <c:v>43220</c:v>
                </c:pt>
                <c:pt idx="9">
                  <c:v>35040</c:v>
                </c:pt>
                <c:pt idx="10">
                  <c:v>14170</c:v>
                </c:pt>
                <c:pt idx="11">
                  <c:v>24480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F-4983-83D2-6EB71095A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81999"/>
        <c:axId val="73516023"/>
      </c:barChart>
      <c:catAx>
        <c:axId val="5978199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USD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16023"/>
        <c:crosses val="autoZero"/>
        <c:auto val="1"/>
        <c:lblAlgn val="ctr"/>
        <c:lblOffset val="100"/>
        <c:noMultiLvlLbl val="0"/>
      </c:catAx>
      <c:valAx>
        <c:axId val="735160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Commodity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81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1800</xdr:rowOff>
    </xdr:from>
    <xdr:to>
      <xdr:col>9</xdr:col>
      <xdr:colOff>99750</xdr:colOff>
      <xdr:row>42</xdr:row>
      <xdr:rowOff>130350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490FD-1A1B-494C-8ECE-5CA0DF0AE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1800</xdr:rowOff>
    </xdr:from>
    <xdr:to>
      <xdr:col>20</xdr:col>
      <xdr:colOff>132210</xdr:colOff>
      <xdr:row>46</xdr:row>
      <xdr:rowOff>88590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EFBB2-113B-45C7-BF8F-C4492190A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180975</xdr:colOff>
      <xdr:row>43</xdr:row>
      <xdr:rowOff>30765</xdr:rowOff>
    </xdr:from>
    <xdr:to>
      <xdr:col>8</xdr:col>
      <xdr:colOff>671295</xdr:colOff>
      <xdr:row>62</xdr:row>
      <xdr:rowOff>10590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741E4B-4176-4EF8-8DA1-71E553D26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41</xdr:row>
      <xdr:rowOff>21240</xdr:rowOff>
    </xdr:from>
    <xdr:to>
      <xdr:col>20</xdr:col>
      <xdr:colOff>132210</xdr:colOff>
      <xdr:row>63</xdr:row>
      <xdr:rowOff>149805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B00B68-BCA7-4E28-8BF7-9141790C2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97200</xdr:rowOff>
    </xdr:from>
    <xdr:to>
      <xdr:col>8</xdr:col>
      <xdr:colOff>359115</xdr:colOff>
      <xdr:row>57</xdr:row>
      <xdr:rowOff>35280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s%2011\Desktop\Indonesia%202019-2024%20Trade%20Dashboard.xlsx" TargetMode="External"/><Relationship Id="rId1" Type="http://schemas.openxmlformats.org/officeDocument/2006/relationships/externalLinkPath" Target="Indonesia%202019-2024%20Trad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TABLE"/>
      <sheetName val="DASHBOARD"/>
    </sheetNames>
    <sheetDataSet>
      <sheetData sheetId="0">
        <row r="2">
          <cell r="B2">
            <v>2019</v>
          </cell>
          <cell r="C2" t="str">
            <v>Export</v>
          </cell>
          <cell r="D2" t="str">
            <v>Palm Oil</v>
          </cell>
          <cell r="F2" t="str">
            <v>India</v>
          </cell>
          <cell r="H2">
            <v>4820</v>
          </cell>
        </row>
        <row r="3">
          <cell r="B3">
            <v>2020</v>
          </cell>
          <cell r="C3" t="str">
            <v>Export</v>
          </cell>
          <cell r="D3" t="str">
            <v>Palm Oil</v>
          </cell>
          <cell r="F3" t="str">
            <v>India</v>
          </cell>
          <cell r="H3">
            <v>4150</v>
          </cell>
        </row>
        <row r="4">
          <cell r="B4">
            <v>2021</v>
          </cell>
          <cell r="C4" t="str">
            <v>Export</v>
          </cell>
          <cell r="D4" t="str">
            <v>Palm Oil</v>
          </cell>
          <cell r="F4" t="str">
            <v>India</v>
          </cell>
          <cell r="H4">
            <v>5280</v>
          </cell>
        </row>
        <row r="5">
          <cell r="B5">
            <v>2022</v>
          </cell>
          <cell r="C5" t="str">
            <v>Export</v>
          </cell>
          <cell r="D5" t="str">
            <v>Palm Oil</v>
          </cell>
          <cell r="F5" t="str">
            <v>India</v>
          </cell>
          <cell r="H5">
            <v>6850</v>
          </cell>
        </row>
        <row r="6">
          <cell r="B6">
            <v>2023</v>
          </cell>
          <cell r="C6" t="str">
            <v>Export</v>
          </cell>
          <cell r="D6" t="str">
            <v>Palm Oil</v>
          </cell>
          <cell r="F6" t="str">
            <v>India</v>
          </cell>
          <cell r="H6">
            <v>5940</v>
          </cell>
        </row>
        <row r="7">
          <cell r="B7">
            <v>2024</v>
          </cell>
          <cell r="C7" t="str">
            <v>Export</v>
          </cell>
          <cell r="D7" t="str">
            <v>Palm Oil</v>
          </cell>
          <cell r="F7" t="str">
            <v>India</v>
          </cell>
          <cell r="H7">
            <v>6250</v>
          </cell>
        </row>
        <row r="8">
          <cell r="B8">
            <v>2019</v>
          </cell>
          <cell r="C8" t="str">
            <v>Export</v>
          </cell>
          <cell r="D8" t="str">
            <v>Palm Oil</v>
          </cell>
          <cell r="F8" t="str">
            <v>China</v>
          </cell>
          <cell r="H8">
            <v>3240</v>
          </cell>
        </row>
        <row r="9">
          <cell r="B9">
            <v>2020</v>
          </cell>
          <cell r="C9" t="str">
            <v>Export</v>
          </cell>
          <cell r="D9" t="str">
            <v>Palm Oil</v>
          </cell>
          <cell r="F9" t="str">
            <v>China</v>
          </cell>
          <cell r="H9">
            <v>2820</v>
          </cell>
        </row>
        <row r="10">
          <cell r="B10">
            <v>2021</v>
          </cell>
          <cell r="C10" t="str">
            <v>Export</v>
          </cell>
          <cell r="D10" t="str">
            <v>Palm Oil</v>
          </cell>
          <cell r="F10" t="str">
            <v>China</v>
          </cell>
          <cell r="H10">
            <v>3640</v>
          </cell>
        </row>
        <row r="11">
          <cell r="B11">
            <v>2022</v>
          </cell>
          <cell r="C11" t="str">
            <v>Export</v>
          </cell>
          <cell r="D11" t="str">
            <v>Palm Oil</v>
          </cell>
          <cell r="F11" t="str">
            <v>China</v>
          </cell>
          <cell r="H11">
            <v>4520</v>
          </cell>
        </row>
        <row r="12">
          <cell r="B12">
            <v>2023</v>
          </cell>
          <cell r="C12" t="str">
            <v>Export</v>
          </cell>
          <cell r="D12" t="str">
            <v>Palm Oil</v>
          </cell>
          <cell r="F12" t="str">
            <v>China</v>
          </cell>
          <cell r="H12">
            <v>3940</v>
          </cell>
        </row>
        <row r="13">
          <cell r="B13">
            <v>2024</v>
          </cell>
          <cell r="C13" t="str">
            <v>Export</v>
          </cell>
          <cell r="D13" t="str">
            <v>Palm Oil</v>
          </cell>
          <cell r="F13" t="str">
            <v>China</v>
          </cell>
          <cell r="H13">
            <v>4150</v>
          </cell>
        </row>
        <row r="14">
          <cell r="B14">
            <v>2019</v>
          </cell>
          <cell r="C14" t="str">
            <v>Export</v>
          </cell>
          <cell r="D14" t="str">
            <v>Palm Oil</v>
          </cell>
          <cell r="F14" t="str">
            <v>EU</v>
          </cell>
          <cell r="H14">
            <v>2120</v>
          </cell>
        </row>
        <row r="15">
          <cell r="B15">
            <v>2020</v>
          </cell>
          <cell r="C15" t="str">
            <v>Export</v>
          </cell>
          <cell r="D15" t="str">
            <v>Palm Oil</v>
          </cell>
          <cell r="F15" t="str">
            <v>EU</v>
          </cell>
          <cell r="H15">
            <v>1940</v>
          </cell>
        </row>
        <row r="16">
          <cell r="B16">
            <v>2021</v>
          </cell>
          <cell r="C16" t="str">
            <v>Export</v>
          </cell>
          <cell r="D16" t="str">
            <v>Palm Oil</v>
          </cell>
          <cell r="F16" t="str">
            <v>EU</v>
          </cell>
          <cell r="H16">
            <v>2240</v>
          </cell>
        </row>
        <row r="17">
          <cell r="B17">
            <v>2022</v>
          </cell>
          <cell r="C17" t="str">
            <v>Export</v>
          </cell>
          <cell r="D17" t="str">
            <v>Palm Oil</v>
          </cell>
          <cell r="F17" t="str">
            <v>EU</v>
          </cell>
          <cell r="H17">
            <v>2950</v>
          </cell>
        </row>
        <row r="18">
          <cell r="B18">
            <v>2023</v>
          </cell>
          <cell r="C18" t="str">
            <v>Export</v>
          </cell>
          <cell r="D18" t="str">
            <v>Palm Oil</v>
          </cell>
          <cell r="F18" t="str">
            <v>EU</v>
          </cell>
          <cell r="H18">
            <v>2450</v>
          </cell>
        </row>
        <row r="19">
          <cell r="B19">
            <v>2024</v>
          </cell>
          <cell r="C19" t="str">
            <v>Export</v>
          </cell>
          <cell r="D19" t="str">
            <v>Palm Oil</v>
          </cell>
          <cell r="F19" t="str">
            <v>EU</v>
          </cell>
          <cell r="H19">
            <v>2620</v>
          </cell>
        </row>
        <row r="20">
          <cell r="B20">
            <v>2019</v>
          </cell>
          <cell r="C20" t="str">
            <v>Export</v>
          </cell>
          <cell r="D20" t="str">
            <v>Palm Oil</v>
          </cell>
          <cell r="F20" t="str">
            <v>Pakistan</v>
          </cell>
          <cell r="H20">
            <v>1840</v>
          </cell>
        </row>
        <row r="21">
          <cell r="B21">
            <v>2020</v>
          </cell>
          <cell r="C21" t="str">
            <v>Export</v>
          </cell>
          <cell r="D21" t="str">
            <v>Palm Oil</v>
          </cell>
          <cell r="F21" t="str">
            <v>Pakistan</v>
          </cell>
          <cell r="H21">
            <v>1640</v>
          </cell>
        </row>
        <row r="22">
          <cell r="B22">
            <v>2021</v>
          </cell>
          <cell r="C22" t="str">
            <v>Export</v>
          </cell>
          <cell r="D22" t="str">
            <v>Palm Oil</v>
          </cell>
          <cell r="F22" t="str">
            <v>Pakistan</v>
          </cell>
          <cell r="H22">
            <v>1960</v>
          </cell>
        </row>
        <row r="23">
          <cell r="B23">
            <v>2022</v>
          </cell>
          <cell r="C23" t="str">
            <v>Export</v>
          </cell>
          <cell r="D23" t="str">
            <v>Palm Oil</v>
          </cell>
          <cell r="F23" t="str">
            <v>Pakistan</v>
          </cell>
          <cell r="H23">
            <v>2450</v>
          </cell>
        </row>
        <row r="24">
          <cell r="B24">
            <v>2023</v>
          </cell>
          <cell r="C24" t="str">
            <v>Export</v>
          </cell>
          <cell r="D24" t="str">
            <v>Palm Oil</v>
          </cell>
          <cell r="F24" t="str">
            <v>Pakistan</v>
          </cell>
          <cell r="H24">
            <v>2130</v>
          </cell>
        </row>
        <row r="25">
          <cell r="B25">
            <v>2024</v>
          </cell>
          <cell r="C25" t="str">
            <v>Export</v>
          </cell>
          <cell r="D25" t="str">
            <v>Palm Oil</v>
          </cell>
          <cell r="F25" t="str">
            <v>Pakistan</v>
          </cell>
          <cell r="H25">
            <v>2240</v>
          </cell>
        </row>
        <row r="26">
          <cell r="B26">
            <v>2019</v>
          </cell>
          <cell r="C26" t="str">
            <v>Export</v>
          </cell>
          <cell r="D26" t="str">
            <v>Palm Oil</v>
          </cell>
          <cell r="F26" t="str">
            <v>Malaysia</v>
          </cell>
          <cell r="H26">
            <v>920</v>
          </cell>
        </row>
        <row r="27">
          <cell r="B27">
            <v>2020</v>
          </cell>
          <cell r="C27" t="str">
            <v>Export</v>
          </cell>
          <cell r="D27" t="str">
            <v>Palm Oil</v>
          </cell>
          <cell r="F27" t="str">
            <v>Malaysia</v>
          </cell>
          <cell r="H27">
            <v>810</v>
          </cell>
        </row>
        <row r="28">
          <cell r="B28">
            <v>2021</v>
          </cell>
          <cell r="C28" t="str">
            <v>Export</v>
          </cell>
          <cell r="D28" t="str">
            <v>Palm Oil</v>
          </cell>
          <cell r="F28" t="str">
            <v>Malaysia</v>
          </cell>
          <cell r="H28">
            <v>960</v>
          </cell>
        </row>
        <row r="29">
          <cell r="B29">
            <v>2022</v>
          </cell>
          <cell r="C29" t="str">
            <v>Export</v>
          </cell>
          <cell r="D29" t="str">
            <v>Palm Oil</v>
          </cell>
          <cell r="F29" t="str">
            <v>Malaysia</v>
          </cell>
          <cell r="H29">
            <v>1220</v>
          </cell>
        </row>
        <row r="30">
          <cell r="B30">
            <v>2023</v>
          </cell>
          <cell r="C30" t="str">
            <v>Export</v>
          </cell>
          <cell r="D30" t="str">
            <v>Palm Oil</v>
          </cell>
          <cell r="F30" t="str">
            <v>Malaysia</v>
          </cell>
          <cell r="H30">
            <v>1060</v>
          </cell>
        </row>
        <row r="31">
          <cell r="B31">
            <v>2024</v>
          </cell>
          <cell r="C31" t="str">
            <v>Export</v>
          </cell>
          <cell r="D31" t="str">
            <v>Palm Oil</v>
          </cell>
          <cell r="F31" t="str">
            <v>Malaysia</v>
          </cell>
          <cell r="H31">
            <v>1120</v>
          </cell>
        </row>
        <row r="32">
          <cell r="B32">
            <v>2019</v>
          </cell>
          <cell r="C32" t="str">
            <v>Export</v>
          </cell>
          <cell r="D32" t="str">
            <v>Coal</v>
          </cell>
          <cell r="F32" t="str">
            <v>China</v>
          </cell>
          <cell r="H32">
            <v>6540</v>
          </cell>
        </row>
        <row r="33">
          <cell r="B33">
            <v>2020</v>
          </cell>
          <cell r="C33" t="str">
            <v>Export</v>
          </cell>
          <cell r="D33" t="str">
            <v>Coal</v>
          </cell>
          <cell r="F33" t="str">
            <v>China</v>
          </cell>
          <cell r="H33">
            <v>4240</v>
          </cell>
        </row>
        <row r="34">
          <cell r="B34">
            <v>2021</v>
          </cell>
          <cell r="C34" t="str">
            <v>Export</v>
          </cell>
          <cell r="D34" t="str">
            <v>Coal</v>
          </cell>
          <cell r="F34" t="str">
            <v>China</v>
          </cell>
          <cell r="H34">
            <v>8560</v>
          </cell>
        </row>
        <row r="35">
          <cell r="B35">
            <v>2022</v>
          </cell>
          <cell r="C35" t="str">
            <v>Export</v>
          </cell>
          <cell r="D35" t="str">
            <v>Coal</v>
          </cell>
          <cell r="F35" t="str">
            <v>China</v>
          </cell>
          <cell r="H35">
            <v>14200</v>
          </cell>
        </row>
        <row r="36">
          <cell r="B36">
            <v>2023</v>
          </cell>
          <cell r="C36" t="str">
            <v>Export</v>
          </cell>
          <cell r="D36" t="str">
            <v>Coal</v>
          </cell>
          <cell r="F36" t="str">
            <v>China</v>
          </cell>
          <cell r="H36">
            <v>9850</v>
          </cell>
        </row>
        <row r="37">
          <cell r="B37">
            <v>2024</v>
          </cell>
          <cell r="C37" t="str">
            <v>Export</v>
          </cell>
          <cell r="D37" t="str">
            <v>Coal</v>
          </cell>
          <cell r="F37" t="str">
            <v>China</v>
          </cell>
          <cell r="H37">
            <v>8540</v>
          </cell>
        </row>
        <row r="38">
          <cell r="B38">
            <v>2019</v>
          </cell>
          <cell r="C38" t="str">
            <v>Export</v>
          </cell>
          <cell r="D38" t="str">
            <v>Coal</v>
          </cell>
          <cell r="F38" t="str">
            <v>India</v>
          </cell>
          <cell r="H38">
            <v>4250</v>
          </cell>
        </row>
        <row r="39">
          <cell r="B39">
            <v>2020</v>
          </cell>
          <cell r="C39" t="str">
            <v>Export</v>
          </cell>
          <cell r="D39" t="str">
            <v>Coal</v>
          </cell>
          <cell r="F39" t="str">
            <v>India</v>
          </cell>
          <cell r="H39">
            <v>2850</v>
          </cell>
        </row>
        <row r="40">
          <cell r="B40">
            <v>2021</v>
          </cell>
          <cell r="C40" t="str">
            <v>Export</v>
          </cell>
          <cell r="D40" t="str">
            <v>Coal</v>
          </cell>
          <cell r="F40" t="str">
            <v>India</v>
          </cell>
          <cell r="H40">
            <v>5540</v>
          </cell>
        </row>
        <row r="41">
          <cell r="B41">
            <v>2022</v>
          </cell>
          <cell r="C41" t="str">
            <v>Export</v>
          </cell>
          <cell r="D41" t="str">
            <v>Coal</v>
          </cell>
          <cell r="F41" t="str">
            <v>India</v>
          </cell>
          <cell r="H41">
            <v>9120</v>
          </cell>
        </row>
        <row r="42">
          <cell r="B42">
            <v>2023</v>
          </cell>
          <cell r="C42" t="str">
            <v>Export</v>
          </cell>
          <cell r="D42" t="str">
            <v>Coal</v>
          </cell>
          <cell r="F42" t="str">
            <v>India</v>
          </cell>
          <cell r="H42">
            <v>6340</v>
          </cell>
        </row>
        <row r="43">
          <cell r="B43">
            <v>2024</v>
          </cell>
          <cell r="C43" t="str">
            <v>Export</v>
          </cell>
          <cell r="D43" t="str">
            <v>Coal</v>
          </cell>
          <cell r="F43" t="str">
            <v>India</v>
          </cell>
          <cell r="H43">
            <v>5560</v>
          </cell>
        </row>
        <row r="44">
          <cell r="B44">
            <v>2019</v>
          </cell>
          <cell r="C44" t="str">
            <v>Export</v>
          </cell>
          <cell r="D44" t="str">
            <v>Coal</v>
          </cell>
          <cell r="F44" t="str">
            <v>Japan</v>
          </cell>
          <cell r="H44">
            <v>3820</v>
          </cell>
        </row>
        <row r="45">
          <cell r="B45">
            <v>2020</v>
          </cell>
          <cell r="C45" t="str">
            <v>Export</v>
          </cell>
          <cell r="D45" t="str">
            <v>Coal</v>
          </cell>
          <cell r="F45" t="str">
            <v>Japan</v>
          </cell>
          <cell r="H45">
            <v>2640</v>
          </cell>
        </row>
        <row r="46">
          <cell r="B46">
            <v>2021</v>
          </cell>
          <cell r="C46" t="str">
            <v>Export</v>
          </cell>
          <cell r="D46" t="str">
            <v>Coal</v>
          </cell>
          <cell r="F46" t="str">
            <v>Japan</v>
          </cell>
          <cell r="H46">
            <v>4850</v>
          </cell>
        </row>
        <row r="47">
          <cell r="B47">
            <v>2022</v>
          </cell>
          <cell r="C47" t="str">
            <v>Export</v>
          </cell>
          <cell r="D47" t="str">
            <v>Coal</v>
          </cell>
          <cell r="F47" t="str">
            <v>Japan</v>
          </cell>
          <cell r="H47">
            <v>7920</v>
          </cell>
        </row>
        <row r="48">
          <cell r="B48">
            <v>2023</v>
          </cell>
          <cell r="C48" t="str">
            <v>Export</v>
          </cell>
          <cell r="D48" t="str">
            <v>Coal</v>
          </cell>
          <cell r="F48" t="str">
            <v>Japan</v>
          </cell>
          <cell r="H48">
            <v>5650</v>
          </cell>
        </row>
        <row r="49">
          <cell r="B49">
            <v>2024</v>
          </cell>
          <cell r="C49" t="str">
            <v>Export</v>
          </cell>
          <cell r="D49" t="str">
            <v>Coal</v>
          </cell>
          <cell r="F49" t="str">
            <v>Japan</v>
          </cell>
          <cell r="H49">
            <v>4950</v>
          </cell>
        </row>
        <row r="50">
          <cell r="B50">
            <v>2019</v>
          </cell>
          <cell r="C50" t="str">
            <v>Export</v>
          </cell>
          <cell r="D50" t="str">
            <v>Coal</v>
          </cell>
          <cell r="F50" t="str">
            <v>South Korea</v>
          </cell>
          <cell r="H50">
            <v>2940</v>
          </cell>
        </row>
        <row r="51">
          <cell r="B51">
            <v>2020</v>
          </cell>
          <cell r="C51" t="str">
            <v>Export</v>
          </cell>
          <cell r="D51" t="str">
            <v>Coal</v>
          </cell>
          <cell r="F51" t="str">
            <v>South Korea</v>
          </cell>
          <cell r="H51">
            <v>2020</v>
          </cell>
        </row>
        <row r="52">
          <cell r="B52">
            <v>2021</v>
          </cell>
          <cell r="C52" t="str">
            <v>Export</v>
          </cell>
          <cell r="D52" t="str">
            <v>Coal</v>
          </cell>
          <cell r="F52" t="str">
            <v>South Korea</v>
          </cell>
          <cell r="H52">
            <v>3840</v>
          </cell>
        </row>
        <row r="53">
          <cell r="B53">
            <v>2022</v>
          </cell>
          <cell r="C53" t="str">
            <v>Export</v>
          </cell>
          <cell r="D53" t="str">
            <v>Coal</v>
          </cell>
          <cell r="F53" t="str">
            <v>South Korea</v>
          </cell>
          <cell r="H53">
            <v>6280</v>
          </cell>
        </row>
        <row r="54">
          <cell r="B54">
            <v>2023</v>
          </cell>
          <cell r="C54" t="str">
            <v>Export</v>
          </cell>
          <cell r="D54" t="str">
            <v>Coal</v>
          </cell>
          <cell r="F54" t="str">
            <v>South Korea</v>
          </cell>
          <cell r="H54">
            <v>4450</v>
          </cell>
        </row>
        <row r="55">
          <cell r="B55">
            <v>2024</v>
          </cell>
          <cell r="C55" t="str">
            <v>Export</v>
          </cell>
          <cell r="D55" t="str">
            <v>Coal</v>
          </cell>
          <cell r="F55" t="str">
            <v>South Korea</v>
          </cell>
          <cell r="H55">
            <v>3860</v>
          </cell>
        </row>
        <row r="56">
          <cell r="B56">
            <v>2019</v>
          </cell>
          <cell r="C56" t="str">
            <v>Export</v>
          </cell>
          <cell r="D56" t="str">
            <v>Coal</v>
          </cell>
          <cell r="F56" t="str">
            <v>Philippines</v>
          </cell>
          <cell r="H56">
            <v>1220</v>
          </cell>
        </row>
        <row r="57">
          <cell r="B57">
            <v>2020</v>
          </cell>
          <cell r="C57" t="str">
            <v>Export</v>
          </cell>
          <cell r="D57" t="str">
            <v>Coal</v>
          </cell>
          <cell r="F57" t="str">
            <v>Philippines</v>
          </cell>
          <cell r="H57">
            <v>820</v>
          </cell>
        </row>
        <row r="58">
          <cell r="B58">
            <v>2021</v>
          </cell>
          <cell r="C58" t="str">
            <v>Export</v>
          </cell>
          <cell r="D58" t="str">
            <v>Coal</v>
          </cell>
          <cell r="F58" t="str">
            <v>Philippines</v>
          </cell>
          <cell r="H58">
            <v>1640</v>
          </cell>
        </row>
        <row r="59">
          <cell r="B59">
            <v>2022</v>
          </cell>
          <cell r="C59" t="str">
            <v>Export</v>
          </cell>
          <cell r="D59" t="str">
            <v>Coal</v>
          </cell>
          <cell r="F59" t="str">
            <v>Philippines</v>
          </cell>
          <cell r="H59">
            <v>2650</v>
          </cell>
        </row>
        <row r="60">
          <cell r="B60">
            <v>2023</v>
          </cell>
          <cell r="C60" t="str">
            <v>Export</v>
          </cell>
          <cell r="D60" t="str">
            <v>Coal</v>
          </cell>
          <cell r="F60" t="str">
            <v>Philippines</v>
          </cell>
          <cell r="H60">
            <v>1830</v>
          </cell>
        </row>
        <row r="61">
          <cell r="B61">
            <v>2024</v>
          </cell>
          <cell r="C61" t="str">
            <v>Export</v>
          </cell>
          <cell r="D61" t="str">
            <v>Coal</v>
          </cell>
          <cell r="F61" t="str">
            <v>Philippines</v>
          </cell>
          <cell r="H61">
            <v>1640</v>
          </cell>
        </row>
        <row r="62">
          <cell r="B62">
            <v>2019</v>
          </cell>
          <cell r="C62" t="str">
            <v>Export</v>
          </cell>
          <cell r="D62" t="str">
            <v>Nickel Products</v>
          </cell>
          <cell r="F62" t="str">
            <v>China</v>
          </cell>
          <cell r="H62">
            <v>3840</v>
          </cell>
        </row>
        <row r="63">
          <cell r="B63">
            <v>2020</v>
          </cell>
          <cell r="C63" t="str">
            <v>Export</v>
          </cell>
          <cell r="D63" t="str">
            <v>Nickel Products</v>
          </cell>
          <cell r="F63" t="str">
            <v>China</v>
          </cell>
          <cell r="H63">
            <v>4560</v>
          </cell>
        </row>
        <row r="64">
          <cell r="B64">
            <v>2021</v>
          </cell>
          <cell r="C64" t="str">
            <v>Export</v>
          </cell>
          <cell r="D64" t="str">
            <v>Nickel Products</v>
          </cell>
          <cell r="F64" t="str">
            <v>China</v>
          </cell>
          <cell r="H64">
            <v>7280</v>
          </cell>
        </row>
        <row r="65">
          <cell r="B65">
            <v>2022</v>
          </cell>
          <cell r="C65" t="str">
            <v>Export</v>
          </cell>
          <cell r="D65" t="str">
            <v>Nickel Products</v>
          </cell>
          <cell r="F65" t="str">
            <v>China</v>
          </cell>
          <cell r="H65">
            <v>12100</v>
          </cell>
        </row>
        <row r="66">
          <cell r="B66">
            <v>2023</v>
          </cell>
          <cell r="C66" t="str">
            <v>Export</v>
          </cell>
          <cell r="D66" t="str">
            <v>Nickel Products</v>
          </cell>
          <cell r="F66" t="str">
            <v>China</v>
          </cell>
          <cell r="H66">
            <v>16600</v>
          </cell>
        </row>
        <row r="67">
          <cell r="B67">
            <v>2024</v>
          </cell>
          <cell r="C67" t="str">
            <v>Export</v>
          </cell>
          <cell r="D67" t="str">
            <v>Nickel Products</v>
          </cell>
          <cell r="F67" t="str">
            <v>China</v>
          </cell>
          <cell r="H67">
            <v>18200</v>
          </cell>
        </row>
        <row r="68">
          <cell r="B68">
            <v>2019</v>
          </cell>
          <cell r="C68" t="str">
            <v>Export</v>
          </cell>
          <cell r="D68" t="str">
            <v>Nickel Products</v>
          </cell>
          <cell r="F68" t="str">
            <v>Japan</v>
          </cell>
          <cell r="H68">
            <v>620</v>
          </cell>
        </row>
        <row r="69">
          <cell r="B69">
            <v>2020</v>
          </cell>
          <cell r="C69" t="str">
            <v>Export</v>
          </cell>
          <cell r="D69" t="str">
            <v>Nickel Products</v>
          </cell>
          <cell r="F69" t="str">
            <v>Japan</v>
          </cell>
          <cell r="H69">
            <v>720</v>
          </cell>
        </row>
        <row r="70">
          <cell r="B70">
            <v>2021</v>
          </cell>
          <cell r="C70" t="str">
            <v>Export</v>
          </cell>
          <cell r="D70" t="str">
            <v>Nickel Products</v>
          </cell>
          <cell r="F70" t="str">
            <v>Japan</v>
          </cell>
          <cell r="H70">
            <v>1120</v>
          </cell>
        </row>
        <row r="71">
          <cell r="B71">
            <v>2022</v>
          </cell>
          <cell r="C71" t="str">
            <v>Export</v>
          </cell>
          <cell r="D71" t="str">
            <v>Nickel Products</v>
          </cell>
          <cell r="F71" t="str">
            <v>Japan</v>
          </cell>
          <cell r="H71">
            <v>1850</v>
          </cell>
        </row>
        <row r="72">
          <cell r="B72">
            <v>2023</v>
          </cell>
          <cell r="C72" t="str">
            <v>Export</v>
          </cell>
          <cell r="D72" t="str">
            <v>Nickel Products</v>
          </cell>
          <cell r="F72" t="str">
            <v>Japan</v>
          </cell>
          <cell r="H72">
            <v>2540</v>
          </cell>
        </row>
        <row r="73">
          <cell r="B73">
            <v>2024</v>
          </cell>
          <cell r="C73" t="str">
            <v>Export</v>
          </cell>
          <cell r="D73" t="str">
            <v>Nickel Products</v>
          </cell>
          <cell r="F73" t="str">
            <v>Japan</v>
          </cell>
          <cell r="H73">
            <v>2750</v>
          </cell>
        </row>
        <row r="74">
          <cell r="B74">
            <v>2019</v>
          </cell>
          <cell r="C74" t="str">
            <v>Export</v>
          </cell>
          <cell r="D74" t="str">
            <v>Nickel Products</v>
          </cell>
          <cell r="F74" t="str">
            <v>South Korea</v>
          </cell>
          <cell r="H74">
            <v>420</v>
          </cell>
        </row>
        <row r="75">
          <cell r="B75">
            <v>2020</v>
          </cell>
          <cell r="C75" t="str">
            <v>Export</v>
          </cell>
          <cell r="D75" t="str">
            <v>Nickel Products</v>
          </cell>
          <cell r="F75" t="str">
            <v>South Korea</v>
          </cell>
          <cell r="H75">
            <v>510</v>
          </cell>
        </row>
        <row r="76">
          <cell r="B76">
            <v>2021</v>
          </cell>
          <cell r="C76" t="str">
            <v>Export</v>
          </cell>
          <cell r="D76" t="str">
            <v>Nickel Products</v>
          </cell>
          <cell r="F76" t="str">
            <v>South Korea</v>
          </cell>
          <cell r="H76">
            <v>820</v>
          </cell>
        </row>
        <row r="77">
          <cell r="B77">
            <v>2022</v>
          </cell>
          <cell r="C77" t="str">
            <v>Export</v>
          </cell>
          <cell r="D77" t="str">
            <v>Nickel Products</v>
          </cell>
          <cell r="F77" t="str">
            <v>South Korea</v>
          </cell>
          <cell r="H77">
            <v>1320</v>
          </cell>
        </row>
        <row r="78">
          <cell r="B78">
            <v>2023</v>
          </cell>
          <cell r="C78" t="str">
            <v>Export</v>
          </cell>
          <cell r="D78" t="str">
            <v>Nickel Products</v>
          </cell>
          <cell r="F78" t="str">
            <v>South Korea</v>
          </cell>
          <cell r="H78">
            <v>1840</v>
          </cell>
        </row>
        <row r="79">
          <cell r="B79">
            <v>2024</v>
          </cell>
          <cell r="C79" t="str">
            <v>Export</v>
          </cell>
          <cell r="D79" t="str">
            <v>Nickel Products</v>
          </cell>
          <cell r="F79" t="str">
            <v>South Korea</v>
          </cell>
          <cell r="H79">
            <v>2040</v>
          </cell>
        </row>
        <row r="80">
          <cell r="B80">
            <v>2019</v>
          </cell>
          <cell r="C80" t="str">
            <v>Export</v>
          </cell>
          <cell r="D80" t="str">
            <v>Rubber</v>
          </cell>
          <cell r="F80" t="str">
            <v>China</v>
          </cell>
          <cell r="H80">
            <v>1840</v>
          </cell>
        </row>
        <row r="81">
          <cell r="B81">
            <v>2020</v>
          </cell>
          <cell r="C81" t="str">
            <v>Export</v>
          </cell>
          <cell r="D81" t="str">
            <v>Rubber</v>
          </cell>
          <cell r="F81" t="str">
            <v>China</v>
          </cell>
          <cell r="H81">
            <v>1420</v>
          </cell>
        </row>
        <row r="82">
          <cell r="B82">
            <v>2021</v>
          </cell>
          <cell r="C82" t="str">
            <v>Export</v>
          </cell>
          <cell r="D82" t="str">
            <v>Rubber</v>
          </cell>
          <cell r="F82" t="str">
            <v>China</v>
          </cell>
          <cell r="H82">
            <v>1720</v>
          </cell>
        </row>
        <row r="83">
          <cell r="B83">
            <v>2022</v>
          </cell>
          <cell r="C83" t="str">
            <v>Export</v>
          </cell>
          <cell r="D83" t="str">
            <v>Rubber</v>
          </cell>
          <cell r="F83" t="str">
            <v>China</v>
          </cell>
          <cell r="H83">
            <v>2120</v>
          </cell>
        </row>
        <row r="84">
          <cell r="B84">
            <v>2023</v>
          </cell>
          <cell r="C84" t="str">
            <v>Export</v>
          </cell>
          <cell r="D84" t="str">
            <v>Rubber</v>
          </cell>
          <cell r="F84" t="str">
            <v>China</v>
          </cell>
          <cell r="H84">
            <v>1720</v>
          </cell>
        </row>
        <row r="85">
          <cell r="B85">
            <v>2024</v>
          </cell>
          <cell r="C85" t="str">
            <v>Export</v>
          </cell>
          <cell r="D85" t="str">
            <v>Rubber</v>
          </cell>
          <cell r="F85" t="str">
            <v>China</v>
          </cell>
          <cell r="H85">
            <v>1940</v>
          </cell>
        </row>
        <row r="86">
          <cell r="B86">
            <v>2019</v>
          </cell>
          <cell r="C86" t="str">
            <v>Export</v>
          </cell>
          <cell r="D86" t="str">
            <v>Rubber</v>
          </cell>
          <cell r="F86" t="str">
            <v>USA</v>
          </cell>
          <cell r="H86">
            <v>920</v>
          </cell>
        </row>
        <row r="87">
          <cell r="B87">
            <v>2020</v>
          </cell>
          <cell r="C87" t="str">
            <v>Export</v>
          </cell>
          <cell r="D87" t="str">
            <v>Rubber</v>
          </cell>
          <cell r="F87" t="str">
            <v>USA</v>
          </cell>
          <cell r="H87">
            <v>710</v>
          </cell>
        </row>
        <row r="88">
          <cell r="B88">
            <v>2021</v>
          </cell>
          <cell r="C88" t="str">
            <v>Export</v>
          </cell>
          <cell r="D88" t="str">
            <v>Rubber</v>
          </cell>
          <cell r="F88" t="str">
            <v>USA</v>
          </cell>
          <cell r="H88">
            <v>860</v>
          </cell>
        </row>
        <row r="89">
          <cell r="B89">
            <v>2022</v>
          </cell>
          <cell r="C89" t="str">
            <v>Export</v>
          </cell>
          <cell r="D89" t="str">
            <v>Rubber</v>
          </cell>
          <cell r="F89" t="str">
            <v>USA</v>
          </cell>
          <cell r="H89">
            <v>1060</v>
          </cell>
        </row>
        <row r="90">
          <cell r="B90">
            <v>2023</v>
          </cell>
          <cell r="C90" t="str">
            <v>Export</v>
          </cell>
          <cell r="D90" t="str">
            <v>Rubber</v>
          </cell>
          <cell r="F90" t="str">
            <v>USA</v>
          </cell>
          <cell r="H90">
            <v>860</v>
          </cell>
        </row>
        <row r="91">
          <cell r="B91">
            <v>2024</v>
          </cell>
          <cell r="C91" t="str">
            <v>Export</v>
          </cell>
          <cell r="D91" t="str">
            <v>Rubber</v>
          </cell>
          <cell r="F91" t="str">
            <v>USA</v>
          </cell>
          <cell r="H91">
            <v>960</v>
          </cell>
        </row>
        <row r="92">
          <cell r="B92">
            <v>2019</v>
          </cell>
          <cell r="C92" t="str">
            <v>Export</v>
          </cell>
          <cell r="D92" t="str">
            <v>Rubber</v>
          </cell>
          <cell r="F92" t="str">
            <v>Japan</v>
          </cell>
          <cell r="H92">
            <v>710</v>
          </cell>
        </row>
        <row r="93">
          <cell r="B93">
            <v>2020</v>
          </cell>
          <cell r="C93" t="str">
            <v>Export</v>
          </cell>
          <cell r="D93" t="str">
            <v>Rubber</v>
          </cell>
          <cell r="F93" t="str">
            <v>Japan</v>
          </cell>
          <cell r="H93">
            <v>560</v>
          </cell>
        </row>
        <row r="94">
          <cell r="B94">
            <v>2021</v>
          </cell>
          <cell r="C94" t="str">
            <v>Export</v>
          </cell>
          <cell r="D94" t="str">
            <v>Rubber</v>
          </cell>
          <cell r="F94" t="str">
            <v>Japan</v>
          </cell>
          <cell r="H94">
            <v>680</v>
          </cell>
        </row>
        <row r="95">
          <cell r="B95">
            <v>2022</v>
          </cell>
          <cell r="C95" t="str">
            <v>Export</v>
          </cell>
          <cell r="D95" t="str">
            <v>Rubber</v>
          </cell>
          <cell r="F95" t="str">
            <v>Japan</v>
          </cell>
          <cell r="H95">
            <v>830</v>
          </cell>
        </row>
        <row r="96">
          <cell r="B96">
            <v>2023</v>
          </cell>
          <cell r="C96" t="str">
            <v>Export</v>
          </cell>
          <cell r="D96" t="str">
            <v>Rubber</v>
          </cell>
          <cell r="F96" t="str">
            <v>Japan</v>
          </cell>
          <cell r="H96">
            <v>670</v>
          </cell>
        </row>
        <row r="97">
          <cell r="B97">
            <v>2024</v>
          </cell>
          <cell r="C97" t="str">
            <v>Export</v>
          </cell>
          <cell r="D97" t="str">
            <v>Rubber</v>
          </cell>
          <cell r="F97" t="str">
            <v>Japan</v>
          </cell>
          <cell r="H97">
            <v>750</v>
          </cell>
        </row>
        <row r="98">
          <cell r="B98">
            <v>2019</v>
          </cell>
          <cell r="C98" t="str">
            <v>Export</v>
          </cell>
          <cell r="D98" t="str">
            <v>Crude Oil</v>
          </cell>
          <cell r="F98" t="str">
            <v>China</v>
          </cell>
          <cell r="H98">
            <v>3240</v>
          </cell>
        </row>
        <row r="99">
          <cell r="B99">
            <v>2020</v>
          </cell>
          <cell r="C99" t="str">
            <v>Export</v>
          </cell>
          <cell r="D99" t="str">
            <v>Crude Oil</v>
          </cell>
          <cell r="F99" t="str">
            <v>China</v>
          </cell>
          <cell r="H99">
            <v>2020</v>
          </cell>
        </row>
        <row r="100">
          <cell r="B100">
            <v>2021</v>
          </cell>
          <cell r="C100" t="str">
            <v>Export</v>
          </cell>
          <cell r="D100" t="str">
            <v>Crude Oil</v>
          </cell>
          <cell r="F100" t="str">
            <v>China</v>
          </cell>
          <cell r="H100">
            <v>2840</v>
          </cell>
        </row>
        <row r="101">
          <cell r="B101">
            <v>2022</v>
          </cell>
          <cell r="C101" t="str">
            <v>Export</v>
          </cell>
          <cell r="D101" t="str">
            <v>Crude Oil</v>
          </cell>
          <cell r="F101" t="str">
            <v>China</v>
          </cell>
          <cell r="H101">
            <v>4060</v>
          </cell>
        </row>
        <row r="102">
          <cell r="B102">
            <v>2023</v>
          </cell>
          <cell r="C102" t="str">
            <v>Export</v>
          </cell>
          <cell r="D102" t="str">
            <v>Crude Oil</v>
          </cell>
          <cell r="F102" t="str">
            <v>China</v>
          </cell>
          <cell r="H102">
            <v>3440</v>
          </cell>
        </row>
        <row r="103">
          <cell r="B103">
            <v>2024</v>
          </cell>
          <cell r="C103" t="str">
            <v>Export</v>
          </cell>
          <cell r="D103" t="str">
            <v>Crude Oil</v>
          </cell>
          <cell r="F103" t="str">
            <v>China</v>
          </cell>
          <cell r="H103">
            <v>2860</v>
          </cell>
        </row>
        <row r="104">
          <cell r="B104">
            <v>2019</v>
          </cell>
          <cell r="C104" t="str">
            <v>Export</v>
          </cell>
          <cell r="D104" t="str">
            <v>Crude Oil</v>
          </cell>
          <cell r="F104" t="str">
            <v>Singapore</v>
          </cell>
          <cell r="H104">
            <v>1840</v>
          </cell>
        </row>
        <row r="105">
          <cell r="B105">
            <v>2020</v>
          </cell>
          <cell r="C105" t="str">
            <v>Export</v>
          </cell>
          <cell r="D105" t="str">
            <v>Crude Oil</v>
          </cell>
          <cell r="F105" t="str">
            <v>Singapore</v>
          </cell>
          <cell r="H105">
            <v>1120</v>
          </cell>
        </row>
        <row r="106">
          <cell r="B106">
            <v>2021</v>
          </cell>
          <cell r="C106" t="str">
            <v>Export</v>
          </cell>
          <cell r="D106" t="str">
            <v>Crude Oil</v>
          </cell>
          <cell r="F106" t="str">
            <v>Singapore</v>
          </cell>
          <cell r="H106">
            <v>1640</v>
          </cell>
        </row>
        <row r="107">
          <cell r="B107">
            <v>2022</v>
          </cell>
          <cell r="C107" t="str">
            <v>Export</v>
          </cell>
          <cell r="D107" t="str">
            <v>Crude Oil</v>
          </cell>
          <cell r="F107" t="str">
            <v>Singapore</v>
          </cell>
          <cell r="H107">
            <v>2340</v>
          </cell>
        </row>
        <row r="108">
          <cell r="B108">
            <v>2023</v>
          </cell>
          <cell r="C108" t="str">
            <v>Export</v>
          </cell>
          <cell r="D108" t="str">
            <v>Crude Oil</v>
          </cell>
          <cell r="F108" t="str">
            <v>Singapore</v>
          </cell>
          <cell r="H108">
            <v>1940</v>
          </cell>
        </row>
        <row r="109">
          <cell r="B109">
            <v>2024</v>
          </cell>
          <cell r="C109" t="str">
            <v>Export</v>
          </cell>
          <cell r="D109" t="str">
            <v>Crude Oil</v>
          </cell>
          <cell r="F109" t="str">
            <v>Singapore</v>
          </cell>
          <cell r="H109">
            <v>1640</v>
          </cell>
        </row>
        <row r="110">
          <cell r="B110">
            <v>2019</v>
          </cell>
          <cell r="C110" t="str">
            <v>Export</v>
          </cell>
          <cell r="D110" t="str">
            <v>Crude Oil</v>
          </cell>
          <cell r="F110" t="str">
            <v>Japan</v>
          </cell>
          <cell r="H110">
            <v>1540</v>
          </cell>
        </row>
        <row r="111">
          <cell r="B111">
            <v>2020</v>
          </cell>
          <cell r="C111" t="str">
            <v>Export</v>
          </cell>
          <cell r="D111" t="str">
            <v>Crude Oil</v>
          </cell>
          <cell r="F111" t="str">
            <v>Japan</v>
          </cell>
          <cell r="H111">
            <v>960</v>
          </cell>
        </row>
        <row r="112">
          <cell r="B112">
            <v>2021</v>
          </cell>
          <cell r="C112" t="str">
            <v>Export</v>
          </cell>
          <cell r="D112" t="str">
            <v>Crude Oil</v>
          </cell>
          <cell r="F112" t="str">
            <v>Japan</v>
          </cell>
          <cell r="H112">
            <v>1320</v>
          </cell>
        </row>
        <row r="113">
          <cell r="B113">
            <v>2022</v>
          </cell>
          <cell r="C113" t="str">
            <v>Export</v>
          </cell>
          <cell r="D113" t="str">
            <v>Crude Oil</v>
          </cell>
          <cell r="F113" t="str">
            <v>Japan</v>
          </cell>
          <cell r="H113">
            <v>1940</v>
          </cell>
        </row>
        <row r="114">
          <cell r="B114">
            <v>2023</v>
          </cell>
          <cell r="C114" t="str">
            <v>Export</v>
          </cell>
          <cell r="D114" t="str">
            <v>Crude Oil</v>
          </cell>
          <cell r="F114" t="str">
            <v>Japan</v>
          </cell>
          <cell r="H114">
            <v>1640</v>
          </cell>
        </row>
        <row r="115">
          <cell r="B115">
            <v>2024</v>
          </cell>
          <cell r="C115" t="str">
            <v>Export</v>
          </cell>
          <cell r="D115" t="str">
            <v>Crude Oil</v>
          </cell>
          <cell r="F115" t="str">
            <v>Japan</v>
          </cell>
          <cell r="H115">
            <v>1340</v>
          </cell>
        </row>
        <row r="116">
          <cell r="B116">
            <v>2019</v>
          </cell>
          <cell r="C116" t="str">
            <v>Export</v>
          </cell>
          <cell r="D116" t="str">
            <v>Coffee</v>
          </cell>
          <cell r="F116" t="str">
            <v>USA</v>
          </cell>
          <cell r="H116">
            <v>354</v>
          </cell>
        </row>
        <row r="117">
          <cell r="B117">
            <v>2020</v>
          </cell>
          <cell r="C117" t="str">
            <v>Export</v>
          </cell>
          <cell r="D117" t="str">
            <v>Coffee</v>
          </cell>
          <cell r="F117" t="str">
            <v>USA</v>
          </cell>
          <cell r="H117">
            <v>322</v>
          </cell>
        </row>
        <row r="118">
          <cell r="B118">
            <v>2021</v>
          </cell>
          <cell r="C118" t="str">
            <v>Export</v>
          </cell>
          <cell r="D118" t="str">
            <v>Coffee</v>
          </cell>
          <cell r="F118" t="str">
            <v>USA</v>
          </cell>
          <cell r="H118">
            <v>394</v>
          </cell>
        </row>
        <row r="119">
          <cell r="B119">
            <v>2022</v>
          </cell>
          <cell r="C119" t="str">
            <v>Export</v>
          </cell>
          <cell r="D119" t="str">
            <v>Coffee</v>
          </cell>
          <cell r="F119" t="str">
            <v>USA</v>
          </cell>
          <cell r="H119">
            <v>526</v>
          </cell>
        </row>
        <row r="120">
          <cell r="B120">
            <v>2023</v>
          </cell>
          <cell r="C120" t="str">
            <v>Export</v>
          </cell>
          <cell r="D120" t="str">
            <v>Coffee</v>
          </cell>
          <cell r="F120" t="str">
            <v>USA</v>
          </cell>
          <cell r="H120">
            <v>484</v>
          </cell>
        </row>
        <row r="121">
          <cell r="B121">
            <v>2024</v>
          </cell>
          <cell r="C121" t="str">
            <v>Export</v>
          </cell>
          <cell r="D121" t="str">
            <v>Coffee</v>
          </cell>
          <cell r="F121" t="str">
            <v>USA</v>
          </cell>
          <cell r="H121">
            <v>458</v>
          </cell>
        </row>
        <row r="122">
          <cell r="B122">
            <v>2019</v>
          </cell>
          <cell r="C122" t="str">
            <v>Export</v>
          </cell>
          <cell r="D122" t="str">
            <v>Coffee</v>
          </cell>
          <cell r="F122" t="str">
            <v>EU</v>
          </cell>
          <cell r="H122">
            <v>284</v>
          </cell>
        </row>
        <row r="123">
          <cell r="B123">
            <v>2020</v>
          </cell>
          <cell r="C123" t="str">
            <v>Export</v>
          </cell>
          <cell r="D123" t="str">
            <v>Coffee</v>
          </cell>
          <cell r="F123" t="str">
            <v>EU</v>
          </cell>
          <cell r="H123">
            <v>264</v>
          </cell>
        </row>
        <row r="124">
          <cell r="B124">
            <v>2021</v>
          </cell>
          <cell r="C124" t="str">
            <v>Export</v>
          </cell>
          <cell r="D124" t="str">
            <v>Coffee</v>
          </cell>
          <cell r="F124" t="str">
            <v>EU</v>
          </cell>
          <cell r="H124">
            <v>314</v>
          </cell>
        </row>
        <row r="125">
          <cell r="B125">
            <v>2022</v>
          </cell>
          <cell r="C125" t="str">
            <v>Export</v>
          </cell>
          <cell r="D125" t="str">
            <v>Coffee</v>
          </cell>
          <cell r="F125" t="str">
            <v>EU</v>
          </cell>
          <cell r="H125">
            <v>426</v>
          </cell>
        </row>
        <row r="126">
          <cell r="B126">
            <v>2023</v>
          </cell>
          <cell r="C126" t="str">
            <v>Export</v>
          </cell>
          <cell r="D126" t="str">
            <v>Coffee</v>
          </cell>
          <cell r="F126" t="str">
            <v>EU</v>
          </cell>
          <cell r="H126">
            <v>384</v>
          </cell>
        </row>
        <row r="127">
          <cell r="B127">
            <v>2024</v>
          </cell>
          <cell r="C127" t="str">
            <v>Export</v>
          </cell>
          <cell r="D127" t="str">
            <v>Coffee</v>
          </cell>
          <cell r="F127" t="str">
            <v>EU</v>
          </cell>
          <cell r="H127">
            <v>364</v>
          </cell>
        </row>
        <row r="128">
          <cell r="B128">
            <v>2019</v>
          </cell>
          <cell r="C128" t="str">
            <v>Export</v>
          </cell>
          <cell r="D128" t="str">
            <v>Coffee</v>
          </cell>
          <cell r="F128" t="str">
            <v>Japan</v>
          </cell>
          <cell r="H128">
            <v>124</v>
          </cell>
        </row>
        <row r="129">
          <cell r="B129">
            <v>2020</v>
          </cell>
          <cell r="C129" t="str">
            <v>Export</v>
          </cell>
          <cell r="D129" t="str">
            <v>Coffee</v>
          </cell>
          <cell r="F129" t="str">
            <v>Japan</v>
          </cell>
          <cell r="H129">
            <v>112</v>
          </cell>
        </row>
        <row r="130">
          <cell r="B130">
            <v>2021</v>
          </cell>
          <cell r="C130" t="str">
            <v>Export</v>
          </cell>
          <cell r="D130" t="str">
            <v>Coffee</v>
          </cell>
          <cell r="F130" t="str">
            <v>Japan</v>
          </cell>
          <cell r="H130">
            <v>138</v>
          </cell>
        </row>
        <row r="131">
          <cell r="B131">
            <v>2022</v>
          </cell>
          <cell r="C131" t="str">
            <v>Export</v>
          </cell>
          <cell r="D131" t="str">
            <v>Coffee</v>
          </cell>
          <cell r="F131" t="str">
            <v>Japan</v>
          </cell>
          <cell r="H131">
            <v>184</v>
          </cell>
        </row>
        <row r="132">
          <cell r="B132">
            <v>2023</v>
          </cell>
          <cell r="C132" t="str">
            <v>Export</v>
          </cell>
          <cell r="D132" t="str">
            <v>Coffee</v>
          </cell>
          <cell r="F132" t="str">
            <v>Japan</v>
          </cell>
          <cell r="H132">
            <v>168</v>
          </cell>
        </row>
        <row r="133">
          <cell r="B133">
            <v>2024</v>
          </cell>
          <cell r="C133" t="str">
            <v>Export</v>
          </cell>
          <cell r="D133" t="str">
            <v>Coffee</v>
          </cell>
          <cell r="F133" t="str">
            <v>Japan</v>
          </cell>
          <cell r="H133">
            <v>158</v>
          </cell>
        </row>
        <row r="134">
          <cell r="B134">
            <v>2019</v>
          </cell>
          <cell r="C134" t="str">
            <v>Import</v>
          </cell>
          <cell r="D134" t="str">
            <v>Electronics</v>
          </cell>
          <cell r="F134" t="str">
            <v>China</v>
          </cell>
          <cell r="H134">
            <v>4840</v>
          </cell>
        </row>
        <row r="135">
          <cell r="B135">
            <v>2020</v>
          </cell>
          <cell r="C135" t="str">
            <v>Import</v>
          </cell>
          <cell r="D135" t="str">
            <v>Electronics</v>
          </cell>
          <cell r="F135" t="str">
            <v>China</v>
          </cell>
          <cell r="H135">
            <v>3940</v>
          </cell>
        </row>
        <row r="136">
          <cell r="B136">
            <v>2021</v>
          </cell>
          <cell r="C136" t="str">
            <v>Import</v>
          </cell>
          <cell r="D136" t="str">
            <v>Electronics</v>
          </cell>
          <cell r="F136" t="str">
            <v>China</v>
          </cell>
          <cell r="H136">
            <v>5240</v>
          </cell>
        </row>
        <row r="137">
          <cell r="B137">
            <v>2022</v>
          </cell>
          <cell r="C137" t="str">
            <v>Import</v>
          </cell>
          <cell r="D137" t="str">
            <v>Electronics</v>
          </cell>
          <cell r="F137" t="str">
            <v>China</v>
          </cell>
          <cell r="H137">
            <v>6040</v>
          </cell>
        </row>
        <row r="138">
          <cell r="B138">
            <v>2023</v>
          </cell>
          <cell r="C138" t="str">
            <v>Import</v>
          </cell>
          <cell r="D138" t="str">
            <v>Electronics</v>
          </cell>
          <cell r="F138" t="str">
            <v>China</v>
          </cell>
          <cell r="H138">
            <v>5640</v>
          </cell>
        </row>
        <row r="139">
          <cell r="B139">
            <v>2024</v>
          </cell>
          <cell r="C139" t="str">
            <v>Import</v>
          </cell>
          <cell r="D139" t="str">
            <v>Electronics</v>
          </cell>
          <cell r="F139" t="str">
            <v>China</v>
          </cell>
          <cell r="H139">
            <v>6440</v>
          </cell>
        </row>
        <row r="140">
          <cell r="B140">
            <v>2019</v>
          </cell>
          <cell r="C140" t="str">
            <v>Import</v>
          </cell>
          <cell r="D140" t="str">
            <v>Electronics</v>
          </cell>
          <cell r="F140" t="str">
            <v>Singapore</v>
          </cell>
          <cell r="H140">
            <v>1940</v>
          </cell>
        </row>
        <row r="141">
          <cell r="B141">
            <v>2020</v>
          </cell>
          <cell r="C141" t="str">
            <v>Import</v>
          </cell>
          <cell r="D141" t="str">
            <v>Electronics</v>
          </cell>
          <cell r="F141" t="str">
            <v>Singapore</v>
          </cell>
          <cell r="H141">
            <v>1640</v>
          </cell>
        </row>
        <row r="142">
          <cell r="B142">
            <v>2021</v>
          </cell>
          <cell r="C142" t="str">
            <v>Import</v>
          </cell>
          <cell r="D142" t="str">
            <v>Electronics</v>
          </cell>
          <cell r="F142" t="str">
            <v>Singapore</v>
          </cell>
          <cell r="H142">
            <v>2140</v>
          </cell>
        </row>
        <row r="143">
          <cell r="B143">
            <v>2022</v>
          </cell>
          <cell r="C143" t="str">
            <v>Import</v>
          </cell>
          <cell r="D143" t="str">
            <v>Electronics</v>
          </cell>
          <cell r="F143" t="str">
            <v>Singapore</v>
          </cell>
          <cell r="H143">
            <v>2440</v>
          </cell>
        </row>
        <row r="144">
          <cell r="B144">
            <v>2023</v>
          </cell>
          <cell r="C144" t="str">
            <v>Import</v>
          </cell>
          <cell r="D144" t="str">
            <v>Electronics</v>
          </cell>
          <cell r="F144" t="str">
            <v>Singapore</v>
          </cell>
          <cell r="H144">
            <v>2240</v>
          </cell>
        </row>
        <row r="145">
          <cell r="B145">
            <v>2024</v>
          </cell>
          <cell r="C145" t="str">
            <v>Import</v>
          </cell>
          <cell r="D145" t="str">
            <v>Electronics</v>
          </cell>
          <cell r="F145" t="str">
            <v>Singapore</v>
          </cell>
          <cell r="H145">
            <v>2540</v>
          </cell>
        </row>
        <row r="146">
          <cell r="B146">
            <v>2019</v>
          </cell>
          <cell r="C146" t="str">
            <v>Import</v>
          </cell>
          <cell r="D146" t="str">
            <v>Electronics</v>
          </cell>
          <cell r="F146" t="str">
            <v>South Korea</v>
          </cell>
          <cell r="H146">
            <v>1640</v>
          </cell>
        </row>
        <row r="147">
          <cell r="B147">
            <v>2020</v>
          </cell>
          <cell r="C147" t="str">
            <v>Import</v>
          </cell>
          <cell r="D147" t="str">
            <v>Electronics</v>
          </cell>
          <cell r="F147" t="str">
            <v>South Korea</v>
          </cell>
          <cell r="H147">
            <v>1340</v>
          </cell>
        </row>
        <row r="148">
          <cell r="B148">
            <v>2021</v>
          </cell>
          <cell r="C148" t="str">
            <v>Import</v>
          </cell>
          <cell r="D148" t="str">
            <v>Electronics</v>
          </cell>
          <cell r="F148" t="str">
            <v>South Korea</v>
          </cell>
          <cell r="H148">
            <v>1740</v>
          </cell>
        </row>
        <row r="149">
          <cell r="B149">
            <v>2022</v>
          </cell>
          <cell r="C149" t="str">
            <v>Import</v>
          </cell>
          <cell r="D149" t="str">
            <v>Electronics</v>
          </cell>
          <cell r="F149" t="str">
            <v>South Korea</v>
          </cell>
          <cell r="H149">
            <v>2040</v>
          </cell>
        </row>
        <row r="150">
          <cell r="B150">
            <v>2023</v>
          </cell>
          <cell r="C150" t="str">
            <v>Import</v>
          </cell>
          <cell r="D150" t="str">
            <v>Electronics</v>
          </cell>
          <cell r="F150" t="str">
            <v>South Korea</v>
          </cell>
          <cell r="H150">
            <v>1840</v>
          </cell>
        </row>
        <row r="151">
          <cell r="B151">
            <v>2024</v>
          </cell>
          <cell r="C151" t="str">
            <v>Import</v>
          </cell>
          <cell r="D151" t="str">
            <v>Electronics</v>
          </cell>
          <cell r="F151" t="str">
            <v>South Korea</v>
          </cell>
          <cell r="H151">
            <v>2140</v>
          </cell>
        </row>
        <row r="152">
          <cell r="B152">
            <v>2019</v>
          </cell>
          <cell r="C152" t="str">
            <v>Import</v>
          </cell>
          <cell r="D152" t="str">
            <v>Electronics</v>
          </cell>
          <cell r="F152" t="str">
            <v>Japan</v>
          </cell>
          <cell r="H152">
            <v>1440</v>
          </cell>
        </row>
        <row r="153">
          <cell r="B153">
            <v>2020</v>
          </cell>
          <cell r="C153" t="str">
            <v>Import</v>
          </cell>
          <cell r="D153" t="str">
            <v>Electronics</v>
          </cell>
          <cell r="F153" t="str">
            <v>Japan</v>
          </cell>
          <cell r="H153">
            <v>1140</v>
          </cell>
        </row>
        <row r="154">
          <cell r="B154">
            <v>2021</v>
          </cell>
          <cell r="C154" t="str">
            <v>Import</v>
          </cell>
          <cell r="D154" t="str">
            <v>Electronics</v>
          </cell>
          <cell r="F154" t="str">
            <v>Japan</v>
          </cell>
          <cell r="H154">
            <v>1540</v>
          </cell>
        </row>
        <row r="155">
          <cell r="B155">
            <v>2022</v>
          </cell>
          <cell r="C155" t="str">
            <v>Import</v>
          </cell>
          <cell r="D155" t="str">
            <v>Electronics</v>
          </cell>
          <cell r="F155" t="str">
            <v>Japan</v>
          </cell>
          <cell r="H155">
            <v>1740</v>
          </cell>
        </row>
        <row r="156">
          <cell r="B156">
            <v>2023</v>
          </cell>
          <cell r="C156" t="str">
            <v>Import</v>
          </cell>
          <cell r="D156" t="str">
            <v>Electronics</v>
          </cell>
          <cell r="F156" t="str">
            <v>Japan</v>
          </cell>
          <cell r="H156">
            <v>1640</v>
          </cell>
        </row>
        <row r="157">
          <cell r="B157">
            <v>2024</v>
          </cell>
          <cell r="C157" t="str">
            <v>Import</v>
          </cell>
          <cell r="D157" t="str">
            <v>Electronics</v>
          </cell>
          <cell r="F157" t="str">
            <v>Japan</v>
          </cell>
          <cell r="H157">
            <v>1840</v>
          </cell>
        </row>
        <row r="158">
          <cell r="B158">
            <v>2019</v>
          </cell>
          <cell r="C158" t="str">
            <v>Import</v>
          </cell>
          <cell r="D158" t="str">
            <v>Electronics</v>
          </cell>
          <cell r="F158" t="str">
            <v>USA</v>
          </cell>
          <cell r="H158">
            <v>920</v>
          </cell>
        </row>
        <row r="159">
          <cell r="B159">
            <v>2020</v>
          </cell>
          <cell r="C159" t="str">
            <v>Import</v>
          </cell>
          <cell r="D159" t="str">
            <v>Electronics</v>
          </cell>
          <cell r="F159" t="str">
            <v>USA</v>
          </cell>
          <cell r="H159">
            <v>760</v>
          </cell>
        </row>
        <row r="160">
          <cell r="B160">
            <v>2021</v>
          </cell>
          <cell r="C160" t="str">
            <v>Import</v>
          </cell>
          <cell r="D160" t="str">
            <v>Electronics</v>
          </cell>
          <cell r="F160" t="str">
            <v>USA</v>
          </cell>
          <cell r="H160">
            <v>1020</v>
          </cell>
        </row>
        <row r="161">
          <cell r="B161">
            <v>2022</v>
          </cell>
          <cell r="C161" t="str">
            <v>Import</v>
          </cell>
          <cell r="D161" t="str">
            <v>Electronics</v>
          </cell>
          <cell r="F161" t="str">
            <v>USA</v>
          </cell>
          <cell r="H161">
            <v>1120</v>
          </cell>
        </row>
        <row r="162">
          <cell r="B162">
            <v>2023</v>
          </cell>
          <cell r="C162" t="str">
            <v>Import</v>
          </cell>
          <cell r="D162" t="str">
            <v>Electronics</v>
          </cell>
          <cell r="F162" t="str">
            <v>USA</v>
          </cell>
          <cell r="H162">
            <v>1060</v>
          </cell>
        </row>
        <row r="163">
          <cell r="B163">
            <v>2024</v>
          </cell>
          <cell r="C163" t="str">
            <v>Import</v>
          </cell>
          <cell r="D163" t="str">
            <v>Electronics</v>
          </cell>
          <cell r="F163" t="str">
            <v>USA</v>
          </cell>
          <cell r="H163">
            <v>1220</v>
          </cell>
        </row>
        <row r="164">
          <cell r="B164">
            <v>2019</v>
          </cell>
          <cell r="C164" t="str">
            <v>Import</v>
          </cell>
          <cell r="D164" t="str">
            <v>Machinery</v>
          </cell>
          <cell r="F164" t="str">
            <v>China</v>
          </cell>
          <cell r="H164">
            <v>5540</v>
          </cell>
        </row>
        <row r="165">
          <cell r="B165">
            <v>2020</v>
          </cell>
          <cell r="C165" t="str">
            <v>Import</v>
          </cell>
          <cell r="D165" t="str">
            <v>Machinery</v>
          </cell>
          <cell r="F165" t="str">
            <v>China</v>
          </cell>
          <cell r="H165">
            <v>4240</v>
          </cell>
        </row>
        <row r="166">
          <cell r="B166">
            <v>2021</v>
          </cell>
          <cell r="C166" t="str">
            <v>Import</v>
          </cell>
          <cell r="D166" t="str">
            <v>Machinery</v>
          </cell>
          <cell r="F166" t="str">
            <v>China</v>
          </cell>
          <cell r="H166">
            <v>5840</v>
          </cell>
        </row>
        <row r="167">
          <cell r="B167">
            <v>2022</v>
          </cell>
          <cell r="C167" t="str">
            <v>Import</v>
          </cell>
          <cell r="D167" t="str">
            <v>Machinery</v>
          </cell>
          <cell r="F167" t="str">
            <v>China</v>
          </cell>
          <cell r="H167">
            <v>7240</v>
          </cell>
        </row>
        <row r="168">
          <cell r="B168">
            <v>2023</v>
          </cell>
          <cell r="C168" t="str">
            <v>Import</v>
          </cell>
          <cell r="D168" t="str">
            <v>Machinery</v>
          </cell>
          <cell r="F168" t="str">
            <v>China</v>
          </cell>
          <cell r="H168">
            <v>6540</v>
          </cell>
        </row>
        <row r="169">
          <cell r="B169">
            <v>2024</v>
          </cell>
          <cell r="C169" t="str">
            <v>Import</v>
          </cell>
          <cell r="D169" t="str">
            <v>Machinery</v>
          </cell>
          <cell r="F169" t="str">
            <v>China</v>
          </cell>
          <cell r="H169">
            <v>7340</v>
          </cell>
        </row>
        <row r="170">
          <cell r="B170">
            <v>2019</v>
          </cell>
          <cell r="C170" t="str">
            <v>Import</v>
          </cell>
          <cell r="D170" t="str">
            <v>Machinery</v>
          </cell>
          <cell r="F170" t="str">
            <v>Japan</v>
          </cell>
          <cell r="H170">
            <v>2840</v>
          </cell>
        </row>
        <row r="171">
          <cell r="B171">
            <v>2020</v>
          </cell>
          <cell r="C171" t="str">
            <v>Import</v>
          </cell>
          <cell r="D171" t="str">
            <v>Machinery</v>
          </cell>
          <cell r="F171" t="str">
            <v>Japan</v>
          </cell>
          <cell r="H171">
            <v>2240</v>
          </cell>
        </row>
        <row r="172">
          <cell r="B172">
            <v>2021</v>
          </cell>
          <cell r="C172" t="str">
            <v>Import</v>
          </cell>
          <cell r="D172" t="str">
            <v>Machinery</v>
          </cell>
          <cell r="F172" t="str">
            <v>Japan</v>
          </cell>
          <cell r="H172">
            <v>2940</v>
          </cell>
        </row>
        <row r="173">
          <cell r="B173">
            <v>2022</v>
          </cell>
          <cell r="C173" t="str">
            <v>Import</v>
          </cell>
          <cell r="D173" t="str">
            <v>Machinery</v>
          </cell>
          <cell r="F173" t="str">
            <v>Japan</v>
          </cell>
          <cell r="H173">
            <v>3640</v>
          </cell>
        </row>
        <row r="174">
          <cell r="B174">
            <v>2023</v>
          </cell>
          <cell r="C174" t="str">
            <v>Import</v>
          </cell>
          <cell r="D174" t="str">
            <v>Machinery</v>
          </cell>
          <cell r="F174" t="str">
            <v>Japan</v>
          </cell>
          <cell r="H174">
            <v>3240</v>
          </cell>
        </row>
        <row r="175">
          <cell r="B175">
            <v>2024</v>
          </cell>
          <cell r="C175" t="str">
            <v>Import</v>
          </cell>
          <cell r="D175" t="str">
            <v>Machinery</v>
          </cell>
          <cell r="F175" t="str">
            <v>Japan</v>
          </cell>
          <cell r="H175">
            <v>3640</v>
          </cell>
        </row>
        <row r="176">
          <cell r="B176">
            <v>2019</v>
          </cell>
          <cell r="C176" t="str">
            <v>Import</v>
          </cell>
          <cell r="D176" t="str">
            <v>Machinery</v>
          </cell>
          <cell r="F176" t="str">
            <v>Germany</v>
          </cell>
          <cell r="H176">
            <v>1840</v>
          </cell>
        </row>
        <row r="177">
          <cell r="B177">
            <v>2020</v>
          </cell>
          <cell r="C177" t="str">
            <v>Import</v>
          </cell>
          <cell r="D177" t="str">
            <v>Machinery</v>
          </cell>
          <cell r="F177" t="str">
            <v>Germany</v>
          </cell>
          <cell r="H177">
            <v>1440</v>
          </cell>
        </row>
        <row r="178">
          <cell r="B178">
            <v>2021</v>
          </cell>
          <cell r="C178" t="str">
            <v>Import</v>
          </cell>
          <cell r="D178" t="str">
            <v>Machinery</v>
          </cell>
          <cell r="F178" t="str">
            <v>Germany</v>
          </cell>
          <cell r="H178">
            <v>1940</v>
          </cell>
        </row>
        <row r="179">
          <cell r="B179">
            <v>2022</v>
          </cell>
          <cell r="C179" t="str">
            <v>Import</v>
          </cell>
          <cell r="D179" t="str">
            <v>Machinery</v>
          </cell>
          <cell r="F179" t="str">
            <v>Germany</v>
          </cell>
          <cell r="H179">
            <v>2340</v>
          </cell>
        </row>
        <row r="180">
          <cell r="B180">
            <v>2023</v>
          </cell>
          <cell r="C180" t="str">
            <v>Import</v>
          </cell>
          <cell r="D180" t="str">
            <v>Machinery</v>
          </cell>
          <cell r="F180" t="str">
            <v>Germany</v>
          </cell>
          <cell r="H180">
            <v>2140</v>
          </cell>
        </row>
        <row r="181">
          <cell r="B181">
            <v>2024</v>
          </cell>
          <cell r="C181" t="str">
            <v>Import</v>
          </cell>
          <cell r="D181" t="str">
            <v>Machinery</v>
          </cell>
          <cell r="F181" t="str">
            <v>Germany</v>
          </cell>
          <cell r="H181">
            <v>2340</v>
          </cell>
        </row>
        <row r="182">
          <cell r="B182">
            <v>2019</v>
          </cell>
          <cell r="C182" t="str">
            <v>Import</v>
          </cell>
          <cell r="D182" t="str">
            <v>Machinery</v>
          </cell>
          <cell r="F182" t="str">
            <v>USA</v>
          </cell>
          <cell r="H182">
            <v>1540</v>
          </cell>
        </row>
        <row r="183">
          <cell r="B183">
            <v>2020</v>
          </cell>
          <cell r="C183" t="str">
            <v>Import</v>
          </cell>
          <cell r="D183" t="str">
            <v>Machinery</v>
          </cell>
          <cell r="F183" t="str">
            <v>USA</v>
          </cell>
          <cell r="H183">
            <v>1240</v>
          </cell>
        </row>
        <row r="184">
          <cell r="B184">
            <v>2021</v>
          </cell>
          <cell r="C184" t="str">
            <v>Import</v>
          </cell>
          <cell r="D184" t="str">
            <v>Machinery</v>
          </cell>
          <cell r="F184" t="str">
            <v>USA</v>
          </cell>
          <cell r="H184">
            <v>1640</v>
          </cell>
        </row>
        <row r="185">
          <cell r="B185">
            <v>2022</v>
          </cell>
          <cell r="C185" t="str">
            <v>Import</v>
          </cell>
          <cell r="D185" t="str">
            <v>Machinery</v>
          </cell>
          <cell r="F185" t="str">
            <v>USA</v>
          </cell>
          <cell r="H185">
            <v>1940</v>
          </cell>
        </row>
        <row r="186">
          <cell r="B186">
            <v>2023</v>
          </cell>
          <cell r="C186" t="str">
            <v>Import</v>
          </cell>
          <cell r="D186" t="str">
            <v>Machinery</v>
          </cell>
          <cell r="F186" t="str">
            <v>USA</v>
          </cell>
          <cell r="H186">
            <v>1740</v>
          </cell>
        </row>
        <row r="187">
          <cell r="B187">
            <v>2024</v>
          </cell>
          <cell r="C187" t="str">
            <v>Import</v>
          </cell>
          <cell r="D187" t="str">
            <v>Machinery</v>
          </cell>
          <cell r="F187" t="str">
            <v>USA</v>
          </cell>
          <cell r="H187">
            <v>1940</v>
          </cell>
        </row>
        <row r="188">
          <cell r="B188">
            <v>2019</v>
          </cell>
          <cell r="C188" t="str">
            <v>Import</v>
          </cell>
          <cell r="D188" t="str">
            <v>Machinery</v>
          </cell>
          <cell r="F188" t="str">
            <v>Singapore</v>
          </cell>
          <cell r="H188">
            <v>1140</v>
          </cell>
        </row>
        <row r="189">
          <cell r="B189">
            <v>2020</v>
          </cell>
          <cell r="C189" t="str">
            <v>Import</v>
          </cell>
          <cell r="D189" t="str">
            <v>Machinery</v>
          </cell>
          <cell r="F189" t="str">
            <v>Singapore</v>
          </cell>
          <cell r="H189">
            <v>940</v>
          </cell>
        </row>
        <row r="190">
          <cell r="B190">
            <v>2021</v>
          </cell>
          <cell r="C190" t="str">
            <v>Import</v>
          </cell>
          <cell r="D190" t="str">
            <v>Machinery</v>
          </cell>
          <cell r="F190" t="str">
            <v>Singapore</v>
          </cell>
          <cell r="H190">
            <v>1240</v>
          </cell>
        </row>
        <row r="191">
          <cell r="B191">
            <v>2022</v>
          </cell>
          <cell r="C191" t="str">
            <v>Import</v>
          </cell>
          <cell r="D191" t="str">
            <v>Machinery</v>
          </cell>
          <cell r="F191" t="str">
            <v>Singapore</v>
          </cell>
          <cell r="H191">
            <v>1440</v>
          </cell>
        </row>
        <row r="192">
          <cell r="B192">
            <v>2023</v>
          </cell>
          <cell r="C192" t="str">
            <v>Import</v>
          </cell>
          <cell r="D192" t="str">
            <v>Machinery</v>
          </cell>
          <cell r="F192" t="str">
            <v>Singapore</v>
          </cell>
          <cell r="H192">
            <v>1340</v>
          </cell>
        </row>
        <row r="193">
          <cell r="B193">
            <v>2024</v>
          </cell>
          <cell r="C193" t="str">
            <v>Import</v>
          </cell>
          <cell r="D193" t="str">
            <v>Machinery</v>
          </cell>
          <cell r="F193" t="str">
            <v>Singapore</v>
          </cell>
          <cell r="H193">
            <v>1440</v>
          </cell>
        </row>
        <row r="194">
          <cell r="B194">
            <v>2019</v>
          </cell>
          <cell r="C194" t="str">
            <v>Import</v>
          </cell>
          <cell r="D194" t="str">
            <v>Petroleum Products</v>
          </cell>
          <cell r="F194" t="str">
            <v>Singapore</v>
          </cell>
          <cell r="H194">
            <v>3540</v>
          </cell>
        </row>
        <row r="195">
          <cell r="B195">
            <v>2020</v>
          </cell>
          <cell r="C195" t="str">
            <v>Import</v>
          </cell>
          <cell r="D195" t="str">
            <v>Petroleum Products</v>
          </cell>
          <cell r="F195" t="str">
            <v>Singapore</v>
          </cell>
          <cell r="H195">
            <v>2440</v>
          </cell>
        </row>
        <row r="196">
          <cell r="B196">
            <v>2021</v>
          </cell>
          <cell r="C196" t="str">
            <v>Import</v>
          </cell>
          <cell r="D196" t="str">
            <v>Petroleum Products</v>
          </cell>
          <cell r="F196" t="str">
            <v>Singapore</v>
          </cell>
          <cell r="H196">
            <v>3240</v>
          </cell>
        </row>
        <row r="197">
          <cell r="B197">
            <v>2022</v>
          </cell>
          <cell r="C197" t="str">
            <v>Import</v>
          </cell>
          <cell r="D197" t="str">
            <v>Petroleum Products</v>
          </cell>
          <cell r="F197" t="str">
            <v>Singapore</v>
          </cell>
          <cell r="H197">
            <v>4840</v>
          </cell>
        </row>
        <row r="198">
          <cell r="B198">
            <v>2023</v>
          </cell>
          <cell r="C198" t="str">
            <v>Import</v>
          </cell>
          <cell r="D198" t="str">
            <v>Petroleum Products</v>
          </cell>
          <cell r="F198" t="str">
            <v>Singapore</v>
          </cell>
          <cell r="H198">
            <v>4140</v>
          </cell>
        </row>
        <row r="199">
          <cell r="B199">
            <v>2024</v>
          </cell>
          <cell r="C199" t="str">
            <v>Import</v>
          </cell>
          <cell r="D199" t="str">
            <v>Petroleum Products</v>
          </cell>
          <cell r="F199" t="str">
            <v>Singapore</v>
          </cell>
          <cell r="H199">
            <v>4440</v>
          </cell>
        </row>
        <row r="200">
          <cell r="B200">
            <v>2019</v>
          </cell>
          <cell r="C200" t="str">
            <v>Import</v>
          </cell>
          <cell r="D200" t="str">
            <v>Petroleum Products</v>
          </cell>
          <cell r="F200" t="str">
            <v>Malaysia</v>
          </cell>
          <cell r="H200">
            <v>1840</v>
          </cell>
        </row>
        <row r="201">
          <cell r="B201">
            <v>2020</v>
          </cell>
          <cell r="C201" t="str">
            <v>Import</v>
          </cell>
          <cell r="D201" t="str">
            <v>Petroleum Products</v>
          </cell>
          <cell r="F201" t="str">
            <v>Malaysia</v>
          </cell>
          <cell r="H201">
            <v>1240</v>
          </cell>
        </row>
        <row r="202">
          <cell r="B202">
            <v>2021</v>
          </cell>
          <cell r="C202" t="str">
            <v>Import</v>
          </cell>
          <cell r="D202" t="str">
            <v>Petroleum Products</v>
          </cell>
          <cell r="F202" t="str">
            <v>Malaysia</v>
          </cell>
          <cell r="H202">
            <v>1640</v>
          </cell>
        </row>
        <row r="203">
          <cell r="B203">
            <v>2022</v>
          </cell>
          <cell r="C203" t="str">
            <v>Import</v>
          </cell>
          <cell r="D203" t="str">
            <v>Petroleum Products</v>
          </cell>
          <cell r="F203" t="str">
            <v>Malaysia</v>
          </cell>
          <cell r="H203">
            <v>2540</v>
          </cell>
        </row>
        <row r="204">
          <cell r="B204">
            <v>2023</v>
          </cell>
          <cell r="C204" t="str">
            <v>Import</v>
          </cell>
          <cell r="D204" t="str">
            <v>Petroleum Products</v>
          </cell>
          <cell r="F204" t="str">
            <v>Malaysia</v>
          </cell>
          <cell r="H204">
            <v>2140</v>
          </cell>
        </row>
        <row r="205">
          <cell r="B205">
            <v>2024</v>
          </cell>
          <cell r="C205" t="str">
            <v>Import</v>
          </cell>
          <cell r="D205" t="str">
            <v>Petroleum Products</v>
          </cell>
          <cell r="F205" t="str">
            <v>Malaysia</v>
          </cell>
          <cell r="H205">
            <v>2240</v>
          </cell>
        </row>
        <row r="206">
          <cell r="B206">
            <v>2019</v>
          </cell>
          <cell r="C206" t="str">
            <v>Import</v>
          </cell>
          <cell r="D206" t="str">
            <v>Petroleum Products</v>
          </cell>
          <cell r="F206" t="str">
            <v>Saudi Arabia</v>
          </cell>
          <cell r="H206">
            <v>1440</v>
          </cell>
        </row>
        <row r="207">
          <cell r="B207">
            <v>2020</v>
          </cell>
          <cell r="C207" t="str">
            <v>Import</v>
          </cell>
          <cell r="D207" t="str">
            <v>Petroleum Products</v>
          </cell>
          <cell r="F207" t="str">
            <v>Saudi Arabia</v>
          </cell>
          <cell r="H207">
            <v>940</v>
          </cell>
        </row>
        <row r="208">
          <cell r="B208">
            <v>2021</v>
          </cell>
          <cell r="C208" t="str">
            <v>Import</v>
          </cell>
          <cell r="D208" t="str">
            <v>Petroleum Products</v>
          </cell>
          <cell r="F208" t="str">
            <v>Saudi Arabia</v>
          </cell>
          <cell r="H208">
            <v>1240</v>
          </cell>
        </row>
        <row r="209">
          <cell r="B209">
            <v>2022</v>
          </cell>
          <cell r="C209" t="str">
            <v>Import</v>
          </cell>
          <cell r="D209" t="str">
            <v>Petroleum Products</v>
          </cell>
          <cell r="F209" t="str">
            <v>Saudi Arabia</v>
          </cell>
          <cell r="H209">
            <v>1940</v>
          </cell>
        </row>
        <row r="210">
          <cell r="B210">
            <v>2023</v>
          </cell>
          <cell r="C210" t="str">
            <v>Import</v>
          </cell>
          <cell r="D210" t="str">
            <v>Petroleum Products</v>
          </cell>
          <cell r="F210" t="str">
            <v>Saudi Arabia</v>
          </cell>
          <cell r="H210">
            <v>1640</v>
          </cell>
        </row>
        <row r="211">
          <cell r="B211">
            <v>2024</v>
          </cell>
          <cell r="C211" t="str">
            <v>Import</v>
          </cell>
          <cell r="D211" t="str">
            <v>Petroleum Products</v>
          </cell>
          <cell r="F211" t="str">
            <v>Saudi Arabia</v>
          </cell>
          <cell r="H211">
            <v>1740</v>
          </cell>
        </row>
        <row r="212">
          <cell r="B212">
            <v>2019</v>
          </cell>
          <cell r="C212" t="str">
            <v>Import</v>
          </cell>
          <cell r="D212" t="str">
            <v>Steel</v>
          </cell>
          <cell r="F212" t="str">
            <v>China</v>
          </cell>
          <cell r="H212">
            <v>3240</v>
          </cell>
        </row>
        <row r="213">
          <cell r="B213">
            <v>2020</v>
          </cell>
          <cell r="C213" t="str">
            <v>Import</v>
          </cell>
          <cell r="D213" t="str">
            <v>Steel</v>
          </cell>
          <cell r="F213" t="str">
            <v>China</v>
          </cell>
          <cell r="H213">
            <v>2440</v>
          </cell>
        </row>
        <row r="214">
          <cell r="B214">
            <v>2021</v>
          </cell>
          <cell r="C214" t="str">
            <v>Import</v>
          </cell>
          <cell r="D214" t="str">
            <v>Steel</v>
          </cell>
          <cell r="F214" t="str">
            <v>China</v>
          </cell>
          <cell r="H214">
            <v>3240</v>
          </cell>
        </row>
        <row r="215">
          <cell r="B215">
            <v>2022</v>
          </cell>
          <cell r="C215" t="str">
            <v>Import</v>
          </cell>
          <cell r="D215" t="str">
            <v>Steel</v>
          </cell>
          <cell r="F215" t="str">
            <v>China</v>
          </cell>
          <cell r="H215">
            <v>4040</v>
          </cell>
        </row>
        <row r="216">
          <cell r="B216">
            <v>2023</v>
          </cell>
          <cell r="C216" t="str">
            <v>Import</v>
          </cell>
          <cell r="D216" t="str">
            <v>Steel</v>
          </cell>
          <cell r="F216" t="str">
            <v>China</v>
          </cell>
          <cell r="H216">
            <v>3640</v>
          </cell>
        </row>
        <row r="217">
          <cell r="B217">
            <v>2024</v>
          </cell>
          <cell r="C217" t="str">
            <v>Import</v>
          </cell>
          <cell r="D217" t="str">
            <v>Steel</v>
          </cell>
          <cell r="F217" t="str">
            <v>China</v>
          </cell>
          <cell r="H217">
            <v>4040</v>
          </cell>
        </row>
        <row r="218">
          <cell r="B218">
            <v>2019</v>
          </cell>
          <cell r="C218" t="str">
            <v>Import</v>
          </cell>
          <cell r="D218" t="str">
            <v>Steel</v>
          </cell>
          <cell r="F218" t="str">
            <v>Japan</v>
          </cell>
          <cell r="H218">
            <v>1240</v>
          </cell>
        </row>
        <row r="219">
          <cell r="B219">
            <v>2020</v>
          </cell>
          <cell r="C219" t="str">
            <v>Import</v>
          </cell>
          <cell r="D219" t="str">
            <v>Steel</v>
          </cell>
          <cell r="F219" t="str">
            <v>Japan</v>
          </cell>
          <cell r="H219">
            <v>940</v>
          </cell>
        </row>
        <row r="220">
          <cell r="B220">
            <v>2021</v>
          </cell>
          <cell r="C220" t="str">
            <v>Import</v>
          </cell>
          <cell r="D220" t="str">
            <v>Steel</v>
          </cell>
          <cell r="F220" t="str">
            <v>Japan</v>
          </cell>
          <cell r="H220">
            <v>1240</v>
          </cell>
        </row>
        <row r="221">
          <cell r="B221">
            <v>2022</v>
          </cell>
          <cell r="C221" t="str">
            <v>Import</v>
          </cell>
          <cell r="D221" t="str">
            <v>Steel</v>
          </cell>
          <cell r="F221" t="str">
            <v>Japan</v>
          </cell>
          <cell r="H221">
            <v>1540</v>
          </cell>
        </row>
        <row r="222">
          <cell r="B222">
            <v>2023</v>
          </cell>
          <cell r="C222" t="str">
            <v>Import</v>
          </cell>
          <cell r="D222" t="str">
            <v>Steel</v>
          </cell>
          <cell r="F222" t="str">
            <v>Japan</v>
          </cell>
          <cell r="H222">
            <v>1380</v>
          </cell>
        </row>
        <row r="223">
          <cell r="B223">
            <v>2024</v>
          </cell>
          <cell r="C223" t="str">
            <v>Import</v>
          </cell>
          <cell r="D223" t="str">
            <v>Steel</v>
          </cell>
          <cell r="F223" t="str">
            <v>Japan</v>
          </cell>
          <cell r="H223">
            <v>1540</v>
          </cell>
        </row>
        <row r="224">
          <cell r="B224">
            <v>2019</v>
          </cell>
          <cell r="C224" t="str">
            <v>Import</v>
          </cell>
          <cell r="D224" t="str">
            <v>Steel</v>
          </cell>
          <cell r="F224" t="str">
            <v>South Korea</v>
          </cell>
          <cell r="H224">
            <v>1040</v>
          </cell>
        </row>
        <row r="225">
          <cell r="B225">
            <v>2020</v>
          </cell>
          <cell r="C225" t="str">
            <v>Import</v>
          </cell>
          <cell r="D225" t="str">
            <v>Steel</v>
          </cell>
          <cell r="F225" t="str">
            <v>South Korea</v>
          </cell>
          <cell r="H225">
            <v>760</v>
          </cell>
        </row>
        <row r="226">
          <cell r="B226">
            <v>2021</v>
          </cell>
          <cell r="C226" t="str">
            <v>Import</v>
          </cell>
          <cell r="D226" t="str">
            <v>Steel</v>
          </cell>
          <cell r="F226" t="str">
            <v>South Korea</v>
          </cell>
          <cell r="H226">
            <v>1040</v>
          </cell>
        </row>
        <row r="227">
          <cell r="B227">
            <v>2022</v>
          </cell>
          <cell r="C227" t="str">
            <v>Import</v>
          </cell>
          <cell r="D227" t="str">
            <v>Steel</v>
          </cell>
          <cell r="F227" t="str">
            <v>South Korea</v>
          </cell>
          <cell r="H227">
            <v>1280</v>
          </cell>
        </row>
        <row r="228">
          <cell r="B228">
            <v>2023</v>
          </cell>
          <cell r="C228" t="str">
            <v>Import</v>
          </cell>
          <cell r="D228" t="str">
            <v>Steel</v>
          </cell>
          <cell r="F228" t="str">
            <v>South Korea</v>
          </cell>
          <cell r="H228">
            <v>1120</v>
          </cell>
        </row>
        <row r="229">
          <cell r="B229">
            <v>2024</v>
          </cell>
          <cell r="C229" t="str">
            <v>Import</v>
          </cell>
          <cell r="D229" t="str">
            <v>Steel</v>
          </cell>
          <cell r="F229" t="str">
            <v>South Korea</v>
          </cell>
          <cell r="H229">
            <v>1280</v>
          </cell>
        </row>
        <row r="230">
          <cell r="B230">
            <v>2019</v>
          </cell>
          <cell r="C230" t="str">
            <v>Import</v>
          </cell>
          <cell r="D230" t="str">
            <v>Wheat</v>
          </cell>
          <cell r="F230" t="str">
            <v>Australia</v>
          </cell>
          <cell r="H230">
            <v>920</v>
          </cell>
        </row>
        <row r="231">
          <cell r="B231">
            <v>2020</v>
          </cell>
          <cell r="C231" t="str">
            <v>Import</v>
          </cell>
          <cell r="D231" t="str">
            <v>Wheat</v>
          </cell>
          <cell r="F231" t="str">
            <v>Australia</v>
          </cell>
          <cell r="H231">
            <v>990</v>
          </cell>
        </row>
        <row r="232">
          <cell r="B232">
            <v>2021</v>
          </cell>
          <cell r="C232" t="str">
            <v>Import</v>
          </cell>
          <cell r="D232" t="str">
            <v>Wheat</v>
          </cell>
          <cell r="F232" t="str">
            <v>Australia</v>
          </cell>
          <cell r="H232">
            <v>1120</v>
          </cell>
        </row>
        <row r="233">
          <cell r="B233">
            <v>2022</v>
          </cell>
          <cell r="C233" t="str">
            <v>Import</v>
          </cell>
          <cell r="D233" t="str">
            <v>Wheat</v>
          </cell>
          <cell r="F233" t="str">
            <v>Australia</v>
          </cell>
          <cell r="H233">
            <v>1480</v>
          </cell>
        </row>
        <row r="234">
          <cell r="B234">
            <v>2023</v>
          </cell>
          <cell r="C234" t="str">
            <v>Import</v>
          </cell>
          <cell r="D234" t="str">
            <v>Wheat</v>
          </cell>
          <cell r="F234" t="str">
            <v>Australia</v>
          </cell>
          <cell r="H234">
            <v>1380</v>
          </cell>
        </row>
        <row r="235">
          <cell r="B235">
            <v>2024</v>
          </cell>
          <cell r="C235" t="str">
            <v>Import</v>
          </cell>
          <cell r="D235" t="str">
            <v>Wheat</v>
          </cell>
          <cell r="F235" t="str">
            <v>Australia</v>
          </cell>
          <cell r="H235">
            <v>1260</v>
          </cell>
        </row>
        <row r="236">
          <cell r="B236">
            <v>2019</v>
          </cell>
          <cell r="C236" t="str">
            <v>Import</v>
          </cell>
          <cell r="D236" t="str">
            <v>Wheat</v>
          </cell>
          <cell r="F236" t="str">
            <v>Canada</v>
          </cell>
          <cell r="H236">
            <v>620</v>
          </cell>
        </row>
        <row r="237">
          <cell r="B237">
            <v>2020</v>
          </cell>
          <cell r="C237" t="str">
            <v>Import</v>
          </cell>
          <cell r="D237" t="str">
            <v>Wheat</v>
          </cell>
          <cell r="F237" t="str">
            <v>Canada</v>
          </cell>
          <cell r="H237">
            <v>660</v>
          </cell>
        </row>
        <row r="238">
          <cell r="B238">
            <v>2021</v>
          </cell>
          <cell r="C238" t="str">
            <v>Import</v>
          </cell>
          <cell r="D238" t="str">
            <v>Wheat</v>
          </cell>
          <cell r="F238" t="str">
            <v>Canada</v>
          </cell>
          <cell r="H238">
            <v>750</v>
          </cell>
        </row>
        <row r="239">
          <cell r="B239">
            <v>2022</v>
          </cell>
          <cell r="C239" t="str">
            <v>Import</v>
          </cell>
          <cell r="D239" t="str">
            <v>Wheat</v>
          </cell>
          <cell r="F239" t="str">
            <v>Canada</v>
          </cell>
          <cell r="H239">
            <v>1000</v>
          </cell>
        </row>
        <row r="240">
          <cell r="B240">
            <v>2023</v>
          </cell>
          <cell r="C240" t="str">
            <v>Import</v>
          </cell>
          <cell r="D240" t="str">
            <v>Wheat</v>
          </cell>
          <cell r="F240" t="str">
            <v>Canada</v>
          </cell>
          <cell r="H240">
            <v>920</v>
          </cell>
        </row>
        <row r="241">
          <cell r="B241">
            <v>2024</v>
          </cell>
          <cell r="C241" t="str">
            <v>Import</v>
          </cell>
          <cell r="D241" t="str">
            <v>Wheat</v>
          </cell>
          <cell r="F241" t="str">
            <v>Canada</v>
          </cell>
          <cell r="H241">
            <v>860</v>
          </cell>
        </row>
        <row r="242">
          <cell r="B242">
            <v>2019</v>
          </cell>
          <cell r="C242" t="str">
            <v>Import</v>
          </cell>
          <cell r="D242" t="str">
            <v>Wheat</v>
          </cell>
          <cell r="F242" t="str">
            <v>Ukraine</v>
          </cell>
          <cell r="H242">
            <v>360</v>
          </cell>
        </row>
        <row r="243">
          <cell r="B243">
            <v>2020</v>
          </cell>
          <cell r="C243" t="str">
            <v>Import</v>
          </cell>
          <cell r="D243" t="str">
            <v>Wheat</v>
          </cell>
          <cell r="F243" t="str">
            <v>Ukraine</v>
          </cell>
          <cell r="H243">
            <v>380</v>
          </cell>
        </row>
        <row r="244">
          <cell r="B244">
            <v>2021</v>
          </cell>
          <cell r="C244" t="str">
            <v>Import</v>
          </cell>
          <cell r="D244" t="str">
            <v>Wheat</v>
          </cell>
          <cell r="F244" t="str">
            <v>Ukraine</v>
          </cell>
          <cell r="H244">
            <v>430</v>
          </cell>
        </row>
        <row r="245">
          <cell r="B245">
            <v>2022</v>
          </cell>
          <cell r="C245" t="str">
            <v>Import</v>
          </cell>
          <cell r="D245" t="str">
            <v>Wheat</v>
          </cell>
          <cell r="F245" t="str">
            <v>Ukraine</v>
          </cell>
          <cell r="H245">
            <v>290</v>
          </cell>
        </row>
        <row r="246">
          <cell r="B246">
            <v>2023</v>
          </cell>
          <cell r="C246" t="str">
            <v>Import</v>
          </cell>
          <cell r="D246" t="str">
            <v>Wheat</v>
          </cell>
          <cell r="F246" t="str">
            <v>Ukraine</v>
          </cell>
          <cell r="H246">
            <v>360</v>
          </cell>
        </row>
        <row r="247">
          <cell r="B247">
            <v>2024</v>
          </cell>
          <cell r="C247" t="str">
            <v>Import</v>
          </cell>
          <cell r="D247" t="str">
            <v>Wheat</v>
          </cell>
          <cell r="F247" t="str">
            <v>Ukraine</v>
          </cell>
          <cell r="H247">
            <v>390</v>
          </cell>
        </row>
        <row r="248">
          <cell r="B248">
            <v>2019</v>
          </cell>
          <cell r="C248" t="str">
            <v>Import</v>
          </cell>
          <cell r="D248" t="str">
            <v>Chemicals</v>
          </cell>
          <cell r="F248" t="str">
            <v>China</v>
          </cell>
          <cell r="H248">
            <v>1840</v>
          </cell>
        </row>
        <row r="249">
          <cell r="B249">
            <v>2020</v>
          </cell>
          <cell r="C249" t="str">
            <v>Import</v>
          </cell>
          <cell r="D249" t="str">
            <v>Chemicals</v>
          </cell>
          <cell r="F249" t="str">
            <v>China</v>
          </cell>
          <cell r="H249">
            <v>1440</v>
          </cell>
        </row>
        <row r="250">
          <cell r="B250">
            <v>2021</v>
          </cell>
          <cell r="C250" t="str">
            <v>Import</v>
          </cell>
          <cell r="D250" t="str">
            <v>Chemicals</v>
          </cell>
          <cell r="F250" t="str">
            <v>China</v>
          </cell>
          <cell r="H250">
            <v>1940</v>
          </cell>
        </row>
        <row r="251">
          <cell r="B251">
            <v>2022</v>
          </cell>
          <cell r="C251" t="str">
            <v>Import</v>
          </cell>
          <cell r="D251" t="str">
            <v>Chemicals</v>
          </cell>
          <cell r="F251" t="str">
            <v>China</v>
          </cell>
          <cell r="H251">
            <v>2440</v>
          </cell>
        </row>
        <row r="252">
          <cell r="B252">
            <v>2023</v>
          </cell>
          <cell r="C252" t="str">
            <v>Import</v>
          </cell>
          <cell r="D252" t="str">
            <v>Chemicals</v>
          </cell>
          <cell r="F252" t="str">
            <v>China</v>
          </cell>
          <cell r="H252">
            <v>2240</v>
          </cell>
        </row>
        <row r="253">
          <cell r="B253">
            <v>2024</v>
          </cell>
          <cell r="C253" t="str">
            <v>Import</v>
          </cell>
          <cell r="D253" t="str">
            <v>Chemicals</v>
          </cell>
          <cell r="F253" t="str">
            <v>China</v>
          </cell>
          <cell r="H253">
            <v>2440</v>
          </cell>
        </row>
        <row r="254">
          <cell r="B254">
            <v>2019</v>
          </cell>
          <cell r="C254" t="str">
            <v>Import</v>
          </cell>
          <cell r="D254" t="str">
            <v>Chemicals</v>
          </cell>
          <cell r="F254" t="str">
            <v>Singapore</v>
          </cell>
          <cell r="H254">
            <v>1140</v>
          </cell>
        </row>
        <row r="255">
          <cell r="B255">
            <v>2020</v>
          </cell>
          <cell r="C255" t="str">
            <v>Import</v>
          </cell>
          <cell r="D255" t="str">
            <v>Chemicals</v>
          </cell>
          <cell r="F255" t="str">
            <v>Singapore</v>
          </cell>
          <cell r="H255">
            <v>860</v>
          </cell>
        </row>
        <row r="256">
          <cell r="B256">
            <v>2021</v>
          </cell>
          <cell r="C256" t="str">
            <v>Import</v>
          </cell>
          <cell r="D256" t="str">
            <v>Chemicals</v>
          </cell>
          <cell r="F256" t="str">
            <v>Singapore</v>
          </cell>
          <cell r="H256">
            <v>1160</v>
          </cell>
        </row>
        <row r="257">
          <cell r="B257">
            <v>2022</v>
          </cell>
          <cell r="C257" t="str">
            <v>Import</v>
          </cell>
          <cell r="D257" t="str">
            <v>Chemicals</v>
          </cell>
          <cell r="F257" t="str">
            <v>Singapore</v>
          </cell>
          <cell r="H257">
            <v>1460</v>
          </cell>
        </row>
        <row r="258">
          <cell r="B258">
            <v>2023</v>
          </cell>
          <cell r="C258" t="str">
            <v>Import</v>
          </cell>
          <cell r="D258" t="str">
            <v>Chemicals</v>
          </cell>
          <cell r="F258" t="str">
            <v>Singapore</v>
          </cell>
          <cell r="H258">
            <v>1320</v>
          </cell>
        </row>
        <row r="259">
          <cell r="B259">
            <v>2024</v>
          </cell>
          <cell r="C259" t="str">
            <v>Import</v>
          </cell>
          <cell r="D259" t="str">
            <v>Chemicals</v>
          </cell>
          <cell r="F259" t="str">
            <v>Singapore</v>
          </cell>
          <cell r="H259">
            <v>1460</v>
          </cell>
        </row>
        <row r="260">
          <cell r="B260">
            <v>2019</v>
          </cell>
          <cell r="C260" t="str">
            <v>Import</v>
          </cell>
          <cell r="D260" t="str">
            <v>Chemicals</v>
          </cell>
          <cell r="F260" t="str">
            <v>Germany</v>
          </cell>
          <cell r="H260">
            <v>720</v>
          </cell>
        </row>
        <row r="261">
          <cell r="B261">
            <v>2020</v>
          </cell>
          <cell r="C261" t="str">
            <v>Import</v>
          </cell>
          <cell r="D261" t="str">
            <v>Chemicals</v>
          </cell>
          <cell r="F261" t="str">
            <v>Germany</v>
          </cell>
          <cell r="H261">
            <v>560</v>
          </cell>
        </row>
        <row r="262">
          <cell r="B262">
            <v>2021</v>
          </cell>
          <cell r="C262" t="str">
            <v>Import</v>
          </cell>
          <cell r="D262" t="str">
            <v>Chemicals</v>
          </cell>
          <cell r="F262" t="str">
            <v>Germany</v>
          </cell>
          <cell r="H262">
            <v>740</v>
          </cell>
        </row>
        <row r="263">
          <cell r="B263">
            <v>2022</v>
          </cell>
          <cell r="C263" t="str">
            <v>Import</v>
          </cell>
          <cell r="D263" t="str">
            <v>Chemicals</v>
          </cell>
          <cell r="F263" t="str">
            <v>Germany</v>
          </cell>
          <cell r="H263">
            <v>940</v>
          </cell>
        </row>
        <row r="264">
          <cell r="B264">
            <v>2023</v>
          </cell>
          <cell r="C264" t="str">
            <v>Import</v>
          </cell>
          <cell r="D264" t="str">
            <v>Chemicals</v>
          </cell>
          <cell r="F264" t="str">
            <v>Germany</v>
          </cell>
          <cell r="H264">
            <v>840</v>
          </cell>
        </row>
        <row r="265">
          <cell r="B265">
            <v>2024</v>
          </cell>
          <cell r="C265" t="str">
            <v>Import</v>
          </cell>
          <cell r="D265" t="str">
            <v>Chemicals</v>
          </cell>
          <cell r="F265" t="str">
            <v>Germany</v>
          </cell>
          <cell r="H265">
            <v>940</v>
          </cell>
        </row>
      </sheetData>
      <sheetData sheetId="1">
        <row r="9">
          <cell r="B9" t="str">
            <v>Exports</v>
          </cell>
          <cell r="C9" t="str">
            <v>Imports</v>
          </cell>
          <cell r="F9" t="str">
            <v>Exports</v>
          </cell>
          <cell r="G9" t="str">
            <v>Imports</v>
          </cell>
          <cell r="J9" t="str">
            <v>Exports</v>
          </cell>
          <cell r="K9" t="str">
            <v>Imports</v>
          </cell>
          <cell r="N9" t="str">
            <v>Nickel Export</v>
          </cell>
        </row>
        <row r="10">
          <cell r="A10">
            <v>2019</v>
          </cell>
          <cell r="B10">
            <v>47442</v>
          </cell>
          <cell r="C10">
            <v>41620</v>
          </cell>
          <cell r="E10" t="str">
            <v>Palm Oil</v>
          </cell>
          <cell r="F10">
            <v>88270</v>
          </cell>
          <cell r="G10">
            <v>0</v>
          </cell>
          <cell r="I10" t="str">
            <v>China</v>
          </cell>
          <cell r="J10">
            <v>166040</v>
          </cell>
          <cell r="K10">
            <v>101860</v>
          </cell>
          <cell r="M10">
            <v>2019</v>
          </cell>
          <cell r="N10">
            <v>4880</v>
          </cell>
        </row>
        <row r="11">
          <cell r="A11">
            <v>2020</v>
          </cell>
          <cell r="B11">
            <v>37208</v>
          </cell>
          <cell r="C11">
            <v>32570</v>
          </cell>
          <cell r="E11" t="str">
            <v>Coal</v>
          </cell>
          <cell r="F11">
            <v>148610</v>
          </cell>
          <cell r="G11">
            <v>0</v>
          </cell>
          <cell r="I11" t="str">
            <v>India</v>
          </cell>
          <cell r="J11">
            <v>66950</v>
          </cell>
          <cell r="K11">
            <v>0</v>
          </cell>
          <cell r="M11">
            <v>2020</v>
          </cell>
          <cell r="N11">
            <v>5790</v>
          </cell>
        </row>
        <row r="12">
          <cell r="A12">
            <v>2021</v>
          </cell>
          <cell r="B12">
            <v>57636</v>
          </cell>
          <cell r="C12">
            <v>43060</v>
          </cell>
          <cell r="E12" t="str">
            <v>Nickel Products</v>
          </cell>
          <cell r="F12">
            <v>79130</v>
          </cell>
          <cell r="G12">
            <v>0</v>
          </cell>
          <cell r="I12" t="str">
            <v>Japan</v>
          </cell>
          <cell r="J12">
            <v>53254</v>
          </cell>
          <cell r="K12">
            <v>35760</v>
          </cell>
          <cell r="M12">
            <v>2021</v>
          </cell>
          <cell r="N12">
            <v>9220</v>
          </cell>
        </row>
        <row r="13">
          <cell r="A13">
            <v>2022</v>
          </cell>
          <cell r="B13">
            <v>86916</v>
          </cell>
          <cell r="C13">
            <v>53770</v>
          </cell>
          <cell r="E13" t="str">
            <v>Rubber</v>
          </cell>
          <cell r="F13">
            <v>20330</v>
          </cell>
          <cell r="G13">
            <v>0</v>
          </cell>
          <cell r="I13" t="str">
            <v>Singapore</v>
          </cell>
          <cell r="J13">
            <v>10520</v>
          </cell>
          <cell r="K13">
            <v>50520</v>
          </cell>
          <cell r="M13">
            <v>2022</v>
          </cell>
          <cell r="N13">
            <v>15270</v>
          </cell>
        </row>
        <row r="14">
          <cell r="A14">
            <v>2023</v>
          </cell>
          <cell r="B14">
            <v>75926</v>
          </cell>
          <cell r="C14">
            <v>48540</v>
          </cell>
          <cell r="E14" t="str">
            <v>Crude Oil</v>
          </cell>
          <cell r="F14">
            <v>37720</v>
          </cell>
          <cell r="G14">
            <v>0</v>
          </cell>
          <cell r="I14" t="str">
            <v>South Korea</v>
          </cell>
          <cell r="J14">
            <v>30340</v>
          </cell>
          <cell r="K14">
            <v>17260</v>
          </cell>
          <cell r="M14">
            <v>2023</v>
          </cell>
          <cell r="N14">
            <v>20980</v>
          </cell>
        </row>
        <row r="15">
          <cell r="A15">
            <v>2024</v>
          </cell>
          <cell r="B15">
            <v>74390</v>
          </cell>
          <cell r="C15">
            <v>53510</v>
          </cell>
          <cell r="E15" t="str">
            <v>Coffee</v>
          </cell>
          <cell r="F15">
            <v>5458</v>
          </cell>
          <cell r="G15">
            <v>0</v>
          </cell>
          <cell r="I15" t="str">
            <v>USA</v>
          </cell>
          <cell r="J15">
            <v>7908</v>
          </cell>
          <cell r="K15">
            <v>16140</v>
          </cell>
          <cell r="M15">
            <v>2024</v>
          </cell>
          <cell r="N15">
            <v>22990</v>
          </cell>
        </row>
        <row r="16">
          <cell r="E16" t="str">
            <v>Electronics</v>
          </cell>
          <cell r="F16">
            <v>0</v>
          </cell>
          <cell r="G16">
            <v>71260</v>
          </cell>
          <cell r="I16" t="str">
            <v>EU</v>
          </cell>
          <cell r="J16">
            <v>16356</v>
          </cell>
          <cell r="K16">
            <v>0</v>
          </cell>
        </row>
        <row r="17">
          <cell r="E17" t="str">
            <v>Machinery</v>
          </cell>
          <cell r="F17">
            <v>0</v>
          </cell>
          <cell r="G17">
            <v>84900</v>
          </cell>
          <cell r="I17" t="str">
            <v>Malaysia</v>
          </cell>
          <cell r="J17">
            <v>6090</v>
          </cell>
          <cell r="K17">
            <v>11640</v>
          </cell>
        </row>
        <row r="18">
          <cell r="E18" t="str">
            <v>Petroleum Products</v>
          </cell>
          <cell r="F18">
            <v>0</v>
          </cell>
          <cell r="G18">
            <v>43220</v>
          </cell>
          <cell r="I18" t="str">
            <v>Germany</v>
          </cell>
          <cell r="J18">
            <v>0</v>
          </cell>
          <cell r="K18">
            <v>16780</v>
          </cell>
        </row>
        <row r="19">
          <cell r="E19" t="str">
            <v>Steel</v>
          </cell>
          <cell r="F19">
            <v>0</v>
          </cell>
          <cell r="G19">
            <v>35040</v>
          </cell>
          <cell r="I19" t="str">
            <v>Australia</v>
          </cell>
          <cell r="J19">
            <v>0</v>
          </cell>
          <cell r="K19">
            <v>7150</v>
          </cell>
        </row>
        <row r="20">
          <cell r="E20" t="str">
            <v>Wheat</v>
          </cell>
          <cell r="F20">
            <v>0</v>
          </cell>
          <cell r="G20">
            <v>14170</v>
          </cell>
        </row>
        <row r="21">
          <cell r="E21" t="str">
            <v>Chemicals</v>
          </cell>
          <cell r="F21">
            <v>0</v>
          </cell>
          <cell r="G21">
            <v>24480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B1:J42"/>
  <sheetViews>
    <sheetView showGridLines="0" zoomScaleNormal="100" workbookViewId="0">
      <selection activeCell="B9" sqref="B9:J9"/>
    </sheetView>
  </sheetViews>
  <sheetFormatPr defaultColWidth="8.7109375" defaultRowHeight="15" x14ac:dyDescent="0.25"/>
  <cols>
    <col min="1" max="1" width="2" customWidth="1"/>
    <col min="2" max="2" width="4" customWidth="1"/>
    <col min="3" max="10" width="14" customWidth="1"/>
  </cols>
  <sheetData>
    <row r="1" spans="2:10" ht="15.75" customHeight="1" x14ac:dyDescent="0.25"/>
    <row r="2" spans="2:10" ht="7.5" customHeight="1" x14ac:dyDescent="0.25"/>
    <row r="3" spans="2:10" ht="48" customHeight="1" x14ac:dyDescent="0.25">
      <c r="B3" s="103" t="s">
        <v>0</v>
      </c>
      <c r="C3" s="103"/>
      <c r="D3" s="103"/>
      <c r="E3" s="103"/>
      <c r="F3" s="103"/>
      <c r="G3" s="103"/>
      <c r="H3" s="103"/>
      <c r="I3" s="103"/>
      <c r="J3" s="103"/>
    </row>
    <row r="4" spans="2:10" ht="27.75" customHeight="1" x14ac:dyDescent="0.25">
      <c r="B4" s="104" t="s">
        <v>1</v>
      </c>
      <c r="C4" s="104"/>
      <c r="D4" s="104"/>
      <c r="E4" s="104"/>
      <c r="F4" s="104"/>
      <c r="G4" s="104"/>
      <c r="H4" s="104"/>
      <c r="I4" s="104"/>
      <c r="J4" s="104"/>
    </row>
    <row r="5" spans="2:10" ht="21.75" customHeight="1" x14ac:dyDescent="0.25">
      <c r="B5" s="105" t="s">
        <v>532</v>
      </c>
      <c r="C5" s="105"/>
      <c r="D5" s="105"/>
      <c r="E5" s="105"/>
      <c r="F5" s="105"/>
      <c r="G5" s="105"/>
      <c r="H5" s="105"/>
      <c r="I5" s="105"/>
      <c r="J5" s="105"/>
    </row>
    <row r="6" spans="2:10" ht="15.75" customHeight="1" x14ac:dyDescent="0.25"/>
    <row r="7" spans="2:10" ht="15.75" customHeight="1" x14ac:dyDescent="0.25">
      <c r="B7" s="106" t="s">
        <v>2</v>
      </c>
      <c r="C7" s="106"/>
      <c r="D7" s="106"/>
      <c r="E7" s="106"/>
      <c r="F7" s="106"/>
      <c r="G7" s="106"/>
      <c r="H7" s="106"/>
      <c r="I7" s="106"/>
      <c r="J7" s="106"/>
    </row>
    <row r="8" spans="2:10" ht="15.75" customHeight="1" x14ac:dyDescent="0.25">
      <c r="B8" s="107" t="s">
        <v>552</v>
      </c>
      <c r="C8" s="107"/>
      <c r="D8" s="107"/>
      <c r="E8" s="107"/>
      <c r="F8" s="107"/>
      <c r="G8" s="107"/>
      <c r="H8" s="107"/>
      <c r="I8" s="107"/>
      <c r="J8" s="107"/>
    </row>
    <row r="9" spans="2:10" ht="15.75" customHeight="1" x14ac:dyDescent="0.25">
      <c r="B9" s="107" t="s">
        <v>3</v>
      </c>
      <c r="C9" s="107"/>
      <c r="D9" s="107"/>
      <c r="E9" s="107"/>
      <c r="F9" s="107"/>
      <c r="G9" s="107"/>
      <c r="H9" s="107"/>
      <c r="I9" s="107"/>
      <c r="J9" s="107"/>
    </row>
    <row r="10" spans="2:10" ht="15.75" customHeight="1" x14ac:dyDescent="0.25">
      <c r="B10" s="107" t="s">
        <v>4</v>
      </c>
      <c r="C10" s="107"/>
      <c r="D10" s="107"/>
      <c r="E10" s="107"/>
      <c r="F10" s="107"/>
      <c r="G10" s="107"/>
      <c r="H10" s="107"/>
      <c r="I10" s="107"/>
      <c r="J10" s="107"/>
    </row>
    <row r="11" spans="2:10" ht="15.75" customHeight="1" x14ac:dyDescent="0.25">
      <c r="B11" s="107"/>
      <c r="C11" s="107"/>
      <c r="D11" s="107"/>
      <c r="E11" s="107"/>
      <c r="F11" s="107"/>
      <c r="G11" s="107"/>
      <c r="H11" s="107"/>
      <c r="I11" s="107"/>
      <c r="J11" s="107"/>
    </row>
    <row r="12" spans="2:10" ht="15.75" customHeight="1" x14ac:dyDescent="0.25">
      <c r="B12" s="107" t="s">
        <v>5</v>
      </c>
      <c r="C12" s="107"/>
      <c r="D12" s="107"/>
      <c r="E12" s="107"/>
      <c r="F12" s="107"/>
      <c r="G12" s="107"/>
      <c r="H12" s="107"/>
      <c r="I12" s="107"/>
      <c r="J12" s="107"/>
    </row>
    <row r="13" spans="2:10" ht="15.75" customHeight="1" x14ac:dyDescent="0.25">
      <c r="B13" s="107" t="s">
        <v>551</v>
      </c>
      <c r="C13" s="107"/>
      <c r="D13" s="107"/>
      <c r="E13" s="107"/>
      <c r="F13" s="107"/>
      <c r="G13" s="107"/>
      <c r="H13" s="107"/>
      <c r="I13" s="107"/>
      <c r="J13" s="107"/>
    </row>
    <row r="14" spans="2:10" ht="15.75" customHeight="1" x14ac:dyDescent="0.25"/>
    <row r="15" spans="2:10" ht="15.75" customHeight="1" x14ac:dyDescent="0.25">
      <c r="B15" s="108" t="s">
        <v>6</v>
      </c>
      <c r="C15" s="108"/>
      <c r="D15" s="108"/>
      <c r="E15" s="108"/>
      <c r="F15" s="108"/>
      <c r="G15" s="108"/>
      <c r="H15" s="108"/>
      <c r="I15" s="108"/>
      <c r="J15" s="108"/>
    </row>
    <row r="16" spans="2:10" ht="18" customHeight="1" x14ac:dyDescent="0.25">
      <c r="B16" s="5" t="s">
        <v>7</v>
      </c>
      <c r="C16" s="5" t="s">
        <v>8</v>
      </c>
      <c r="E16" s="5" t="s">
        <v>9</v>
      </c>
      <c r="J16" s="5"/>
    </row>
    <row r="17" spans="2:10" ht="18" customHeight="1" x14ac:dyDescent="0.25">
      <c r="B17" s="4" t="s">
        <v>10</v>
      </c>
      <c r="C17" s="109" t="s">
        <v>11</v>
      </c>
      <c r="D17" s="109"/>
      <c r="E17" s="110" t="s">
        <v>12</v>
      </c>
      <c r="F17" s="110"/>
      <c r="G17" s="110"/>
      <c r="H17" s="110"/>
      <c r="I17" s="110"/>
    </row>
    <row r="18" spans="2:10" ht="18" customHeight="1" x14ac:dyDescent="0.25">
      <c r="B18" s="3" t="s">
        <v>13</v>
      </c>
      <c r="C18" s="111" t="s">
        <v>14</v>
      </c>
      <c r="D18" s="111"/>
      <c r="E18" s="112" t="s">
        <v>15</v>
      </c>
      <c r="F18" s="112"/>
      <c r="G18" s="112"/>
      <c r="H18" s="112"/>
      <c r="I18" s="112"/>
    </row>
    <row r="19" spans="2:10" ht="18" customHeight="1" x14ac:dyDescent="0.25">
      <c r="B19" s="2" t="s">
        <v>16</v>
      </c>
      <c r="C19" s="113" t="s">
        <v>17</v>
      </c>
      <c r="D19" s="113"/>
      <c r="E19" s="114" t="s">
        <v>18</v>
      </c>
      <c r="F19" s="114"/>
      <c r="G19" s="114"/>
      <c r="H19" s="114"/>
      <c r="I19" s="114"/>
    </row>
    <row r="20" spans="2:10" ht="18" customHeight="1" x14ac:dyDescent="0.25">
      <c r="B20" s="4" t="s">
        <v>19</v>
      </c>
      <c r="C20" s="109" t="s">
        <v>20</v>
      </c>
      <c r="D20" s="109"/>
      <c r="E20" s="110" t="s">
        <v>21</v>
      </c>
      <c r="F20" s="110"/>
      <c r="G20" s="110"/>
      <c r="H20" s="110"/>
      <c r="I20" s="110"/>
    </row>
    <row r="21" spans="2:10" ht="18" customHeight="1" x14ac:dyDescent="0.25">
      <c r="B21" s="3" t="s">
        <v>22</v>
      </c>
      <c r="C21" s="111" t="s">
        <v>23</v>
      </c>
      <c r="D21" s="111"/>
      <c r="E21" s="112" t="s">
        <v>24</v>
      </c>
      <c r="F21" s="112"/>
      <c r="G21" s="112"/>
      <c r="H21" s="112"/>
      <c r="I21" s="112"/>
    </row>
    <row r="22" spans="2:10" ht="18" customHeight="1" x14ac:dyDescent="0.25">
      <c r="B22" s="2" t="s">
        <v>25</v>
      </c>
      <c r="C22" s="113" t="s">
        <v>26</v>
      </c>
      <c r="D22" s="113"/>
      <c r="E22" s="114" t="s">
        <v>27</v>
      </c>
      <c r="F22" s="114"/>
      <c r="G22" s="114"/>
      <c r="H22" s="114"/>
      <c r="I22" s="114"/>
    </row>
    <row r="23" spans="2:10" ht="18" customHeight="1" x14ac:dyDescent="0.25">
      <c r="B23" s="4" t="s">
        <v>28</v>
      </c>
      <c r="C23" s="109" t="s">
        <v>29</v>
      </c>
      <c r="D23" s="109"/>
      <c r="E23" s="110" t="s">
        <v>30</v>
      </c>
      <c r="F23" s="110"/>
      <c r="G23" s="110"/>
      <c r="H23" s="110"/>
      <c r="I23" s="110"/>
    </row>
    <row r="24" spans="2:10" ht="15.75" customHeight="1" x14ac:dyDescent="0.25"/>
    <row r="25" spans="2:10" ht="15.75" customHeight="1" x14ac:dyDescent="0.25"/>
    <row r="26" spans="2:10" ht="15.75" customHeight="1" x14ac:dyDescent="0.25">
      <c r="B26" s="115" t="s">
        <v>31</v>
      </c>
      <c r="C26" s="115"/>
      <c r="D26" s="115"/>
      <c r="E26" s="115"/>
      <c r="F26" s="115"/>
      <c r="G26" s="115"/>
      <c r="H26" s="115"/>
      <c r="I26" s="115"/>
      <c r="J26" s="115"/>
    </row>
    <row r="27" spans="2:10" ht="19.5" customHeight="1" x14ac:dyDescent="0.25">
      <c r="B27" s="116" t="s">
        <v>32</v>
      </c>
      <c r="C27" s="116"/>
      <c r="D27" s="6" t="s">
        <v>33</v>
      </c>
      <c r="E27" s="116" t="s">
        <v>34</v>
      </c>
      <c r="F27" s="116"/>
      <c r="G27" s="6" t="s">
        <v>35</v>
      </c>
      <c r="H27" s="116" t="s">
        <v>36</v>
      </c>
      <c r="I27" s="116"/>
      <c r="J27" s="6" t="s">
        <v>35</v>
      </c>
    </row>
    <row r="28" spans="2:10" ht="19.5" customHeight="1" x14ac:dyDescent="0.25">
      <c r="B28" s="116" t="s">
        <v>37</v>
      </c>
      <c r="C28" s="116"/>
      <c r="D28" s="6" t="s">
        <v>38</v>
      </c>
      <c r="E28" s="116" t="s">
        <v>39</v>
      </c>
      <c r="F28" s="116"/>
      <c r="G28" s="6" t="s">
        <v>40</v>
      </c>
      <c r="H28" s="116" t="s">
        <v>41</v>
      </c>
      <c r="I28" s="116"/>
      <c r="J28" s="6" t="s">
        <v>42</v>
      </c>
    </row>
    <row r="29" spans="2:10" ht="19.5" customHeight="1" x14ac:dyDescent="0.25">
      <c r="B29" s="116" t="s">
        <v>43</v>
      </c>
      <c r="C29" s="116"/>
      <c r="D29" s="6" t="s">
        <v>25</v>
      </c>
      <c r="E29" s="116" t="s">
        <v>44</v>
      </c>
      <c r="F29" s="116"/>
      <c r="G29" s="6" t="s">
        <v>25</v>
      </c>
      <c r="H29" s="116" t="s">
        <v>45</v>
      </c>
      <c r="I29" s="116"/>
      <c r="J29" s="6" t="s">
        <v>22</v>
      </c>
    </row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</sheetData>
  <mergeCells count="35">
    <mergeCell ref="B29:C29"/>
    <mergeCell ref="E29:F29"/>
    <mergeCell ref="H29:I29"/>
    <mergeCell ref="B27:C27"/>
    <mergeCell ref="E27:F27"/>
    <mergeCell ref="H27:I27"/>
    <mergeCell ref="B28:C28"/>
    <mergeCell ref="E28:F28"/>
    <mergeCell ref="H28:I28"/>
    <mergeCell ref="C22:D22"/>
    <mergeCell ref="E22:I22"/>
    <mergeCell ref="C23:D23"/>
    <mergeCell ref="E23:I23"/>
    <mergeCell ref="B26:J26"/>
    <mergeCell ref="C19:D19"/>
    <mergeCell ref="E19:I19"/>
    <mergeCell ref="C20:D20"/>
    <mergeCell ref="E20:I20"/>
    <mergeCell ref="C21:D21"/>
    <mergeCell ref="E21:I21"/>
    <mergeCell ref="B15:J15"/>
    <mergeCell ref="C17:D17"/>
    <mergeCell ref="E17:I17"/>
    <mergeCell ref="C18:D18"/>
    <mergeCell ref="E18:I18"/>
    <mergeCell ref="B9:J9"/>
    <mergeCell ref="B10:J10"/>
    <mergeCell ref="B11:J11"/>
    <mergeCell ref="B12:J12"/>
    <mergeCell ref="B13:J13"/>
    <mergeCell ref="B3:J3"/>
    <mergeCell ref="B4:J4"/>
    <mergeCell ref="B5:J5"/>
    <mergeCell ref="B7:J7"/>
    <mergeCell ref="B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3515-BE34-4EEC-A60C-AB288D623B0E}">
  <sheetPr>
    <tabColor theme="9" tint="-0.249977111117893"/>
  </sheetPr>
  <dimension ref="A1:T57"/>
  <sheetViews>
    <sheetView topLeftCell="A50" workbookViewId="0">
      <selection activeCell="X22" sqref="X22"/>
    </sheetView>
  </sheetViews>
  <sheetFormatPr defaultColWidth="8.7109375" defaultRowHeight="15" x14ac:dyDescent="0.25"/>
  <cols>
    <col min="1" max="1" width="5" customWidth="1"/>
    <col min="2" max="4" width="9" customWidth="1"/>
    <col min="5" max="5" width="16.7109375" bestFit="1" customWidth="1"/>
    <col min="6" max="8" width="9" customWidth="1"/>
    <col min="9" max="9" width="10.7109375" bestFit="1" customWidth="1"/>
    <col min="10" max="12" width="9" customWidth="1"/>
    <col min="13" max="13" width="5" customWidth="1"/>
    <col min="14" max="20" width="9" customWidth="1"/>
  </cols>
  <sheetData>
    <row r="1" spans="1:20" ht="23.25" x14ac:dyDescent="0.25">
      <c r="A1" s="96" t="s">
        <v>533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0" ht="18" customHeight="1" x14ac:dyDescent="0.25">
      <c r="A2" s="97" t="s">
        <v>534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4" spans="1:20" ht="13.5" customHeight="1" thickBot="1" x14ac:dyDescent="0.3">
      <c r="A4" s="98" t="s">
        <v>535</v>
      </c>
      <c r="B4" s="98"/>
      <c r="C4" s="98"/>
      <c r="D4" s="99" t="s">
        <v>536</v>
      </c>
      <c r="E4" s="99"/>
      <c r="F4" s="99"/>
      <c r="G4" s="100" t="s">
        <v>537</v>
      </c>
      <c r="H4" s="100"/>
      <c r="I4" s="100"/>
      <c r="J4" s="101" t="s">
        <v>538</v>
      </c>
      <c r="K4" s="101"/>
      <c r="L4" s="101"/>
      <c r="M4" s="102" t="s">
        <v>539</v>
      </c>
      <c r="N4" s="102"/>
      <c r="O4" s="102"/>
      <c r="P4" s="99" t="s">
        <v>540</v>
      </c>
      <c r="Q4" s="99"/>
      <c r="R4" s="99"/>
    </row>
    <row r="5" spans="1:20" ht="24" thickBot="1" x14ac:dyDescent="0.3">
      <c r="A5" s="90">
        <f>SUMIF([1]DATA_TABLE!C2:C265,"Export",[1]DATA_TABLE!H2:H265)</f>
        <v>379518</v>
      </c>
      <c r="B5" s="90"/>
      <c r="C5" s="90"/>
      <c r="D5" s="91">
        <f>SUMIF([1]DATA_TABLE!C2:C265,"Import",[1]DATA_TABLE!H2:H265)</f>
        <v>273070</v>
      </c>
      <c r="E5" s="91"/>
      <c r="F5" s="91"/>
      <c r="G5" s="92">
        <f>SUMIF([1]DATA_TABLE!C2:C265,"Export",[1]DATA_TABLE!H2:H265)-SUMIF([1]DATA_TABLE!C2:C265,"Import",[1]DATA_TABLE!H2:H265)</f>
        <v>106448</v>
      </c>
      <c r="H5" s="92"/>
      <c r="I5" s="92"/>
      <c r="J5" s="93" t="s">
        <v>541</v>
      </c>
      <c r="K5" s="93"/>
      <c r="L5" s="93"/>
      <c r="M5" s="94" t="s">
        <v>70</v>
      </c>
      <c r="N5" s="94"/>
      <c r="O5" s="94"/>
      <c r="P5" s="95">
        <f>IFERROR((SUMIFS([1]DATA_TABLE!H2:H265,[1]DATA_TABLE!D2:D265,"Nickel Products",[1]DATA_TABLE!B2:B265,2024)/SUMIFS([1]DATA_TABLE!H2:H265,[1]DATA_TABLE!D2:D265,"Nickel Products",[1]DATA_TABLE!B2:B265,2019))^(1/5)-1,0)</f>
        <v>0.36340169584631954</v>
      </c>
      <c r="Q5" s="95"/>
      <c r="R5" s="95"/>
    </row>
    <row r="6" spans="1:20" ht="13.5" customHeight="1" thickBot="1" x14ac:dyDescent="0.3">
      <c r="A6" s="85" t="s">
        <v>542</v>
      </c>
      <c r="B6" s="85"/>
      <c r="C6" s="85"/>
      <c r="D6" s="86" t="s">
        <v>542</v>
      </c>
      <c r="E6" s="86"/>
      <c r="F6" s="86"/>
      <c r="G6" s="87" t="s">
        <v>542</v>
      </c>
      <c r="H6" s="87"/>
      <c r="I6" s="87"/>
      <c r="J6" s="88" t="s">
        <v>543</v>
      </c>
      <c r="K6" s="88"/>
      <c r="L6" s="88"/>
      <c r="M6" s="89" t="s">
        <v>544</v>
      </c>
      <c r="N6" s="89"/>
      <c r="O6" s="89"/>
      <c r="P6" s="86" t="s">
        <v>545</v>
      </c>
      <c r="Q6" s="86"/>
      <c r="R6" s="86"/>
    </row>
    <row r="8" spans="1:20" ht="15" customHeight="1" x14ac:dyDescent="0.25">
      <c r="A8" s="81" t="s">
        <v>546</v>
      </c>
      <c r="B8" s="81"/>
      <c r="C8" s="81"/>
      <c r="E8" s="82" t="s">
        <v>547</v>
      </c>
      <c r="F8" s="82"/>
      <c r="G8" s="82"/>
      <c r="I8" s="83" t="s">
        <v>548</v>
      </c>
      <c r="J8" s="83"/>
      <c r="K8" s="83"/>
      <c r="M8" s="84" t="s">
        <v>549</v>
      </c>
      <c r="N8" s="84"/>
    </row>
    <row r="9" spans="1:20" ht="22.5" x14ac:dyDescent="0.25">
      <c r="A9" s="44" t="s">
        <v>48</v>
      </c>
      <c r="B9" s="44" t="s">
        <v>428</v>
      </c>
      <c r="C9" s="44" t="s">
        <v>429</v>
      </c>
      <c r="E9" s="44" t="s">
        <v>50</v>
      </c>
      <c r="F9" s="44" t="s">
        <v>428</v>
      </c>
      <c r="G9" s="44" t="s">
        <v>429</v>
      </c>
      <c r="I9" s="74" t="s">
        <v>440</v>
      </c>
      <c r="J9" s="74" t="s">
        <v>428</v>
      </c>
      <c r="K9" s="74" t="s">
        <v>429</v>
      </c>
      <c r="M9" s="75" t="s">
        <v>48</v>
      </c>
      <c r="N9" s="75" t="s">
        <v>550</v>
      </c>
    </row>
    <row r="10" spans="1:20" ht="13.5" customHeight="1" x14ac:dyDescent="0.25">
      <c r="A10" s="76">
        <v>2019</v>
      </c>
      <c r="B10" s="77">
        <f>SUMIFS([1]DATA_TABLE!H2:H265,[1]DATA_TABLE!C2:C265,"Export",[1]DATA_TABLE!B2:B265,A10)</f>
        <v>47442</v>
      </c>
      <c r="C10" s="78">
        <f>SUMIFS([1]DATA_TABLE!H2:H265,[1]DATA_TABLE!C2:C265,"Import",[1]DATA_TABLE!B2:B265,A10)</f>
        <v>41620</v>
      </c>
      <c r="E10" s="79" t="s">
        <v>60</v>
      </c>
      <c r="F10" s="80">
        <f>SUMIFS([1]DATA_TABLE!H2:H265,[1]DATA_TABLE!D2:D265,E10,[1]DATA_TABLE!C2:C265,"Export")</f>
        <v>88270</v>
      </c>
      <c r="G10" s="80">
        <f>SUMIFS([1]DATA_TABLE!H2:H265,[1]DATA_TABLE!D2:D265,E10,[1]DATA_TABLE!C2:C265,"Import")</f>
        <v>0</v>
      </c>
      <c r="I10" s="79" t="s">
        <v>70</v>
      </c>
      <c r="J10" s="80">
        <f>SUMIFS([1]DATA_TABLE!H2:H265,[1]DATA_TABLE!F2:F265,I10,[1]DATA_TABLE!C2:C265,"Export")</f>
        <v>166040</v>
      </c>
      <c r="K10" s="80">
        <f>SUMIFS([1]DATA_TABLE!H2:H265,[1]DATA_TABLE!F2:F265,I10,[1]DATA_TABLE!C2:C265,"Import")</f>
        <v>101860</v>
      </c>
      <c r="M10" s="76">
        <v>2019</v>
      </c>
      <c r="N10" s="78">
        <f>SUMIFS([1]DATA_TABLE!H2:H265,[1]DATA_TABLE!D2:D265,"Nickel Products",[1]DATA_TABLE!B2:B265,M10)</f>
        <v>4880</v>
      </c>
    </row>
    <row r="11" spans="1:20" ht="13.5" customHeight="1" x14ac:dyDescent="0.25">
      <c r="A11" s="76">
        <v>2020</v>
      </c>
      <c r="B11" s="77">
        <f>SUMIFS([1]DATA_TABLE!H2:H265,[1]DATA_TABLE!C2:C265,"Export",[1]DATA_TABLE!B2:B265,A11)</f>
        <v>37208</v>
      </c>
      <c r="C11" s="78">
        <f>SUMIFS([1]DATA_TABLE!H2:H265,[1]DATA_TABLE!C2:C265,"Import",[1]DATA_TABLE!B2:B265,A11)</f>
        <v>32570</v>
      </c>
      <c r="E11" s="79" t="s">
        <v>101</v>
      </c>
      <c r="F11" s="80">
        <f>SUMIFS([1]DATA_TABLE!H2:H265,[1]DATA_TABLE!D2:D265,E11,[1]DATA_TABLE!C2:C265,"Export")</f>
        <v>148610</v>
      </c>
      <c r="G11" s="80">
        <f>SUMIFS([1]DATA_TABLE!H2:H265,[1]DATA_TABLE!D2:D265,E11,[1]DATA_TABLE!C2:C265,"Import")</f>
        <v>0</v>
      </c>
      <c r="I11" s="79" t="s">
        <v>61</v>
      </c>
      <c r="J11" s="80">
        <f>SUMIFS([1]DATA_TABLE!H2:H265,[1]DATA_TABLE!F2:F265,I11,[1]DATA_TABLE!C2:C265,"Export")</f>
        <v>66950</v>
      </c>
      <c r="K11" s="80">
        <f>SUMIFS([1]DATA_TABLE!H2:H265,[1]DATA_TABLE!F2:F265,I11,[1]DATA_TABLE!C2:C265,"Import")</f>
        <v>0</v>
      </c>
      <c r="M11" s="76">
        <v>2020</v>
      </c>
      <c r="N11" s="78">
        <f>SUMIFS([1]DATA_TABLE!H2:H265,[1]DATA_TABLE!D2:D265,"Nickel Products",[1]DATA_TABLE!B2:B265,M11)</f>
        <v>5790</v>
      </c>
    </row>
    <row r="12" spans="1:20" ht="13.5" customHeight="1" x14ac:dyDescent="0.25">
      <c r="A12" s="76">
        <v>2021</v>
      </c>
      <c r="B12" s="77">
        <f>SUMIFS([1]DATA_TABLE!H2:H265,[1]DATA_TABLE!C2:C265,"Export",[1]DATA_TABLE!B2:B265,A12)</f>
        <v>57636</v>
      </c>
      <c r="C12" s="78">
        <f>SUMIFS([1]DATA_TABLE!H2:H265,[1]DATA_TABLE!C2:C265,"Import",[1]DATA_TABLE!B2:B265,A12)</f>
        <v>43060</v>
      </c>
      <c r="E12" s="79" t="s">
        <v>136</v>
      </c>
      <c r="F12" s="80">
        <f>SUMIFS([1]DATA_TABLE!H2:H265,[1]DATA_TABLE!D2:D265,E12,[1]DATA_TABLE!C2:C265,"Export")</f>
        <v>79130</v>
      </c>
      <c r="G12" s="80">
        <f>SUMIFS([1]DATA_TABLE!H2:H265,[1]DATA_TABLE!D2:D265,E12,[1]DATA_TABLE!C2:C265,"Import")</f>
        <v>0</v>
      </c>
      <c r="I12" s="79" t="s">
        <v>115</v>
      </c>
      <c r="J12" s="80">
        <f>SUMIFS([1]DATA_TABLE!H2:H265,[1]DATA_TABLE!F2:F265,I12,[1]DATA_TABLE!C2:C265,"Export")</f>
        <v>53254</v>
      </c>
      <c r="K12" s="80">
        <f>SUMIFS([1]DATA_TABLE!H2:H265,[1]DATA_TABLE!F2:F265,I12,[1]DATA_TABLE!C2:C265,"Import")</f>
        <v>35760</v>
      </c>
      <c r="M12" s="76">
        <v>2021</v>
      </c>
      <c r="N12" s="78">
        <f>SUMIFS([1]DATA_TABLE!H2:H265,[1]DATA_TABLE!D2:D265,"Nickel Products",[1]DATA_TABLE!B2:B265,M12)</f>
        <v>9220</v>
      </c>
    </row>
    <row r="13" spans="1:20" ht="13.5" customHeight="1" x14ac:dyDescent="0.25">
      <c r="A13" s="76">
        <v>2022</v>
      </c>
      <c r="B13" s="77">
        <f>SUMIFS([1]DATA_TABLE!H2:H265,[1]DATA_TABLE!C2:C265,"Export",[1]DATA_TABLE!B2:B265,A13)</f>
        <v>86916</v>
      </c>
      <c r="C13" s="78">
        <f>SUMIFS([1]DATA_TABLE!H2:H265,[1]DATA_TABLE!C2:C265,"Import",[1]DATA_TABLE!B2:B265,A13)</f>
        <v>53770</v>
      </c>
      <c r="E13" s="79" t="s">
        <v>156</v>
      </c>
      <c r="F13" s="80">
        <f>SUMIFS([1]DATA_TABLE!H2:H265,[1]DATA_TABLE!D2:D265,E13,[1]DATA_TABLE!C2:C265,"Export")</f>
        <v>20330</v>
      </c>
      <c r="G13" s="80">
        <f>SUMIFS([1]DATA_TABLE!H2:H265,[1]DATA_TABLE!D2:D265,E13,[1]DATA_TABLE!C2:C265,"Import")</f>
        <v>0</v>
      </c>
      <c r="I13" s="79" t="s">
        <v>185</v>
      </c>
      <c r="J13" s="80">
        <f>SUMIFS([1]DATA_TABLE!H2:H265,[1]DATA_TABLE!F2:F265,I13,[1]DATA_TABLE!C2:C265,"Export")</f>
        <v>10520</v>
      </c>
      <c r="K13" s="80">
        <f>SUMIFS([1]DATA_TABLE!H2:H265,[1]DATA_TABLE!F2:F265,I13,[1]DATA_TABLE!C2:C265,"Import")</f>
        <v>50520</v>
      </c>
      <c r="M13" s="76">
        <v>2022</v>
      </c>
      <c r="N13" s="78">
        <f>SUMIFS([1]DATA_TABLE!H2:H265,[1]DATA_TABLE!D2:D265,"Nickel Products",[1]DATA_TABLE!B2:B265,M13)</f>
        <v>15270</v>
      </c>
    </row>
    <row r="14" spans="1:20" ht="13.5" customHeight="1" x14ac:dyDescent="0.25">
      <c r="A14" s="76">
        <v>2023</v>
      </c>
      <c r="B14" s="77">
        <f>SUMIFS([1]DATA_TABLE!H2:H265,[1]DATA_TABLE!C2:C265,"Export",[1]DATA_TABLE!B2:B265,A14)</f>
        <v>75926</v>
      </c>
      <c r="C14" s="78">
        <f>SUMIFS([1]DATA_TABLE!H2:H265,[1]DATA_TABLE!C2:C265,"Import",[1]DATA_TABLE!B2:B265,A14)</f>
        <v>48540</v>
      </c>
      <c r="E14" s="79" t="s">
        <v>178</v>
      </c>
      <c r="F14" s="80">
        <f>SUMIFS([1]DATA_TABLE!H2:H265,[1]DATA_TABLE!D2:D265,E14,[1]DATA_TABLE!C2:C265,"Export")</f>
        <v>37720</v>
      </c>
      <c r="G14" s="80">
        <f>SUMIFS([1]DATA_TABLE!H2:H265,[1]DATA_TABLE!D2:D265,E14,[1]DATA_TABLE!C2:C265,"Import")</f>
        <v>0</v>
      </c>
      <c r="I14" s="79" t="s">
        <v>122</v>
      </c>
      <c r="J14" s="80">
        <f>SUMIFS([1]DATA_TABLE!H2:H265,[1]DATA_TABLE!F2:F265,I14,[1]DATA_TABLE!C2:C265,"Export")</f>
        <v>30340</v>
      </c>
      <c r="K14" s="80">
        <f>SUMIFS([1]DATA_TABLE!H2:H265,[1]DATA_TABLE!F2:F265,I14,[1]DATA_TABLE!C2:C265,"Import")</f>
        <v>17260</v>
      </c>
      <c r="M14" s="76">
        <v>2023</v>
      </c>
      <c r="N14" s="78">
        <f>SUMIFS([1]DATA_TABLE!H2:H265,[1]DATA_TABLE!D2:D265,"Nickel Products",[1]DATA_TABLE!B2:B265,M14)</f>
        <v>20980</v>
      </c>
    </row>
    <row r="15" spans="1:20" ht="13.5" customHeight="1" x14ac:dyDescent="0.25">
      <c r="A15" s="76">
        <v>2024</v>
      </c>
      <c r="B15" s="77">
        <f>SUMIFS([1]DATA_TABLE!H2:H265,[1]DATA_TABLE!C2:C265,"Export",[1]DATA_TABLE!B2:B265,A15)</f>
        <v>74390</v>
      </c>
      <c r="C15" s="78">
        <f>SUMIFS([1]DATA_TABLE!H2:H265,[1]DATA_TABLE!C2:C265,"Import",[1]DATA_TABLE!B2:B265,A15)</f>
        <v>53510</v>
      </c>
      <c r="E15" s="79" t="s">
        <v>198</v>
      </c>
      <c r="F15" s="80">
        <f>SUMIFS([1]DATA_TABLE!H2:H265,[1]DATA_TABLE!D2:D265,E15,[1]DATA_TABLE!C2:C265,"Export")</f>
        <v>5458</v>
      </c>
      <c r="G15" s="80">
        <f>SUMIFS([1]DATA_TABLE!H2:H265,[1]DATA_TABLE!D2:D265,E15,[1]DATA_TABLE!C2:C265,"Import")</f>
        <v>0</v>
      </c>
      <c r="I15" s="79" t="s">
        <v>164</v>
      </c>
      <c r="J15" s="80">
        <f>SUMIFS([1]DATA_TABLE!H2:H265,[1]DATA_TABLE!F2:F265,I15,[1]DATA_TABLE!C2:C265,"Export")</f>
        <v>7908</v>
      </c>
      <c r="K15" s="80">
        <f>SUMIFS([1]DATA_TABLE!H2:H265,[1]DATA_TABLE!F2:F265,I15,[1]DATA_TABLE!C2:C265,"Import")</f>
        <v>16140</v>
      </c>
      <c r="M15" s="76">
        <v>2024</v>
      </c>
      <c r="N15" s="78">
        <f>SUMIFS([1]DATA_TABLE!H2:H265,[1]DATA_TABLE!D2:D265,"Nickel Products",[1]DATA_TABLE!B2:B265,M15)</f>
        <v>22990</v>
      </c>
    </row>
    <row r="16" spans="1:20" ht="13.5" customHeight="1" x14ac:dyDescent="0.25">
      <c r="E16" s="79" t="s">
        <v>219</v>
      </c>
      <c r="F16" s="80">
        <f>SUMIFS([1]DATA_TABLE!H2:H265,[1]DATA_TABLE!D2:D265,E16,[1]DATA_TABLE!C2:C265,"Export")</f>
        <v>0</v>
      </c>
      <c r="G16" s="80">
        <f>SUMIFS([1]DATA_TABLE!H2:H265,[1]DATA_TABLE!D2:D265,E16,[1]DATA_TABLE!C2:C265,"Import")</f>
        <v>71260</v>
      </c>
      <c r="I16" s="79" t="s">
        <v>78</v>
      </c>
      <c r="J16" s="80">
        <f>SUMIFS([1]DATA_TABLE!H2:H265,[1]DATA_TABLE!F2:F265,I16,[1]DATA_TABLE!C2:C265,"Export")</f>
        <v>16356</v>
      </c>
      <c r="K16" s="80">
        <f>SUMIFS([1]DATA_TABLE!H2:H265,[1]DATA_TABLE!F2:F265,I16,[1]DATA_TABLE!C2:C265,"Import")</f>
        <v>0</v>
      </c>
    </row>
    <row r="17" spans="5:11" ht="13.5" customHeight="1" x14ac:dyDescent="0.25">
      <c r="E17" s="79" t="s">
        <v>252</v>
      </c>
      <c r="F17" s="80">
        <f>SUMIFS([1]DATA_TABLE!H2:H265,[1]DATA_TABLE!D2:D265,E17,[1]DATA_TABLE!C2:C265,"Export")</f>
        <v>0</v>
      </c>
      <c r="G17" s="80">
        <f>SUMIFS([1]DATA_TABLE!H2:H265,[1]DATA_TABLE!D2:D265,E17,[1]DATA_TABLE!C2:C265,"Import")</f>
        <v>84900</v>
      </c>
      <c r="I17" s="79" t="s">
        <v>93</v>
      </c>
      <c r="J17" s="80">
        <f>SUMIFS([1]DATA_TABLE!H2:H265,[1]DATA_TABLE!F2:F265,I17,[1]DATA_TABLE!C2:C265,"Export")</f>
        <v>6090</v>
      </c>
      <c r="K17" s="80">
        <f>SUMIFS([1]DATA_TABLE!H2:H265,[1]DATA_TABLE!F2:F265,I17,[1]DATA_TABLE!C2:C265,"Import")</f>
        <v>11640</v>
      </c>
    </row>
    <row r="18" spans="5:11" ht="13.5" customHeight="1" x14ac:dyDescent="0.25">
      <c r="E18" s="79" t="s">
        <v>285</v>
      </c>
      <c r="F18" s="80">
        <f>SUMIFS([1]DATA_TABLE!H2:H265,[1]DATA_TABLE!D2:D265,E18,[1]DATA_TABLE!C2:C265,"Export")</f>
        <v>0</v>
      </c>
      <c r="G18" s="80">
        <f>SUMIFS([1]DATA_TABLE!H2:H265,[1]DATA_TABLE!D2:D265,E18,[1]DATA_TABLE!C2:C265,"Import")</f>
        <v>43220</v>
      </c>
      <c r="I18" s="79" t="s">
        <v>266</v>
      </c>
      <c r="J18" s="80">
        <f>SUMIFS([1]DATA_TABLE!H2:H265,[1]DATA_TABLE!F2:F265,I18,[1]DATA_TABLE!C2:C265,"Export")</f>
        <v>0</v>
      </c>
      <c r="K18" s="80">
        <f>SUMIFS([1]DATA_TABLE!H2:H265,[1]DATA_TABLE!F2:F265,I18,[1]DATA_TABLE!C2:C265,"Import")</f>
        <v>16780</v>
      </c>
    </row>
    <row r="19" spans="5:11" ht="13.5" customHeight="1" x14ac:dyDescent="0.25">
      <c r="E19" s="79" t="s">
        <v>306</v>
      </c>
      <c r="F19" s="80">
        <f>SUMIFS([1]DATA_TABLE!H2:H265,[1]DATA_TABLE!D2:D265,E19,[1]DATA_TABLE!C2:C265,"Export")</f>
        <v>0</v>
      </c>
      <c r="G19" s="80">
        <f>SUMIFS([1]DATA_TABLE!H2:H265,[1]DATA_TABLE!D2:D265,E19,[1]DATA_TABLE!C2:C265,"Import")</f>
        <v>35040</v>
      </c>
      <c r="I19" s="79" t="s">
        <v>328</v>
      </c>
      <c r="J19" s="80">
        <f>SUMIFS([1]DATA_TABLE!H2:H265,[1]DATA_TABLE!F2:F265,I19,[1]DATA_TABLE!C2:C265,"Export")</f>
        <v>0</v>
      </c>
      <c r="K19" s="80">
        <f>SUMIFS([1]DATA_TABLE!H2:H265,[1]DATA_TABLE!F2:F265,I19,[1]DATA_TABLE!C2:C265,"Import")</f>
        <v>7150</v>
      </c>
    </row>
    <row r="20" spans="5:11" ht="13.5" customHeight="1" x14ac:dyDescent="0.25">
      <c r="E20" s="79" t="s">
        <v>326</v>
      </c>
      <c r="F20" s="80">
        <f>SUMIFS([1]DATA_TABLE!H2:H265,[1]DATA_TABLE!D2:D265,E20,[1]DATA_TABLE!C2:C265,"Export")</f>
        <v>0</v>
      </c>
      <c r="G20" s="80">
        <f>SUMIFS([1]DATA_TABLE!H2:H265,[1]DATA_TABLE!D2:D265,E20,[1]DATA_TABLE!C2:C265,"Import")</f>
        <v>14170</v>
      </c>
    </row>
    <row r="21" spans="5:11" ht="13.5" customHeight="1" x14ac:dyDescent="0.25">
      <c r="E21" s="79" t="s">
        <v>350</v>
      </c>
      <c r="F21" s="80">
        <f>SUMIFS([1]DATA_TABLE!H2:H265,[1]DATA_TABLE!D2:D265,E21,[1]DATA_TABLE!C2:C265,"Export")</f>
        <v>0</v>
      </c>
      <c r="G21" s="80">
        <f>SUMIFS([1]DATA_TABLE!H2:H265,[1]DATA_TABLE!D2:D265,E21,[1]DATA_TABLE!C2:C265,"Import")</f>
        <v>24480</v>
      </c>
    </row>
    <row r="57" customFormat="1" ht="21.75" customHeight="1" x14ac:dyDescent="0.25"/>
  </sheetData>
  <mergeCells count="24">
    <mergeCell ref="A1:T1"/>
    <mergeCell ref="A2:T2"/>
    <mergeCell ref="A4:C4"/>
    <mergeCell ref="D4:F4"/>
    <mergeCell ref="G4:I4"/>
    <mergeCell ref="J4:L4"/>
    <mergeCell ref="M4:O4"/>
    <mergeCell ref="P4:R4"/>
    <mergeCell ref="P6:R6"/>
    <mergeCell ref="A5:C5"/>
    <mergeCell ref="D5:F5"/>
    <mergeCell ref="G5:I5"/>
    <mergeCell ref="J5:L5"/>
    <mergeCell ref="M5:O5"/>
    <mergeCell ref="P5:R5"/>
    <mergeCell ref="A8:C8"/>
    <mergeCell ref="E8:G8"/>
    <mergeCell ref="I8:K8"/>
    <mergeCell ref="M8:N8"/>
    <mergeCell ref="A6:C6"/>
    <mergeCell ref="D6:F6"/>
    <mergeCell ref="G6:I6"/>
    <mergeCell ref="J6:L6"/>
    <mergeCell ref="M6:O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377"/>
  </sheetPr>
  <dimension ref="A1:L40"/>
  <sheetViews>
    <sheetView showGridLines="0" topLeftCell="A9" zoomScaleNormal="100" workbookViewId="0">
      <selection activeCell="N34" sqref="N34"/>
    </sheetView>
  </sheetViews>
  <sheetFormatPr defaultColWidth="8.7109375" defaultRowHeight="15" x14ac:dyDescent="0.25"/>
  <cols>
    <col min="1" max="1" width="10" bestFit="1" customWidth="1"/>
    <col min="2" max="2" width="5.7109375" bestFit="1" customWidth="1"/>
    <col min="3" max="3" width="9" bestFit="1" customWidth="1"/>
    <col min="4" max="4" width="7.85546875" bestFit="1" customWidth="1"/>
    <col min="5" max="5" width="12.85546875" bestFit="1" customWidth="1"/>
    <col min="6" max="6" width="7.28515625" bestFit="1" customWidth="1"/>
    <col min="7" max="7" width="12" bestFit="1" customWidth="1"/>
    <col min="8" max="8" width="7.5703125" bestFit="1" customWidth="1"/>
    <col min="9" max="9" width="7.28515625" bestFit="1" customWidth="1"/>
    <col min="10" max="10" width="8.7109375" bestFit="1" customWidth="1"/>
    <col min="11" max="11" width="48.42578125" bestFit="1" customWidth="1"/>
    <col min="12" max="12" width="31.28515625" bestFit="1" customWidth="1"/>
  </cols>
  <sheetData>
    <row r="1" spans="1:12" ht="27.75" customHeight="1" x14ac:dyDescent="0.25">
      <c r="A1" s="117" t="s">
        <v>553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9.5" customHeight="1" x14ac:dyDescent="0.25">
      <c r="A2" s="118" t="s">
        <v>369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4" spans="1:12" ht="15" customHeight="1" x14ac:dyDescent="0.25">
      <c r="A4" s="108" t="s">
        <v>370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</row>
    <row r="5" spans="1:12" ht="24" x14ac:dyDescent="0.25">
      <c r="A5" s="5" t="s">
        <v>371</v>
      </c>
      <c r="C5" s="5" t="s">
        <v>372</v>
      </c>
      <c r="E5" s="5" t="s">
        <v>373</v>
      </c>
      <c r="F5" s="5" t="s">
        <v>374</v>
      </c>
      <c r="G5" s="5" t="s">
        <v>375</v>
      </c>
      <c r="H5" s="5" t="s">
        <v>376</v>
      </c>
      <c r="L5" s="5" t="s">
        <v>377</v>
      </c>
    </row>
    <row r="6" spans="1:12" ht="15.75" customHeight="1" x14ac:dyDescent="0.25">
      <c r="A6" s="119" t="s">
        <v>47</v>
      </c>
      <c r="B6" s="119"/>
      <c r="C6" s="120" t="s">
        <v>378</v>
      </c>
      <c r="D6" s="120"/>
      <c r="E6" s="19">
        <f>COUNTA('RAW DATA'!A4:A267)</f>
        <v>264</v>
      </c>
      <c r="F6" s="20">
        <v>0</v>
      </c>
      <c r="G6" s="19" t="s">
        <v>33</v>
      </c>
      <c r="H6" s="120" t="s">
        <v>379</v>
      </c>
      <c r="I6" s="120"/>
      <c r="J6" s="120"/>
      <c r="K6" s="120"/>
      <c r="L6" s="19" t="s">
        <v>380</v>
      </c>
    </row>
    <row r="7" spans="1:12" ht="15.75" customHeight="1" x14ac:dyDescent="0.25">
      <c r="A7" s="121" t="s">
        <v>48</v>
      </c>
      <c r="B7" s="121"/>
      <c r="C7" s="122" t="s">
        <v>381</v>
      </c>
      <c r="D7" s="122"/>
      <c r="E7" s="21">
        <f>COUNTA('RAW DATA'!B4:B267)</f>
        <v>264</v>
      </c>
      <c r="F7" s="22">
        <v>0</v>
      </c>
      <c r="G7" s="21" t="s">
        <v>25</v>
      </c>
      <c r="H7" s="122" t="s">
        <v>382</v>
      </c>
      <c r="I7" s="122"/>
      <c r="J7" s="122"/>
      <c r="K7" s="122"/>
      <c r="L7" s="21" t="s">
        <v>383</v>
      </c>
    </row>
    <row r="8" spans="1:12" ht="15.75" customHeight="1" x14ac:dyDescent="0.25">
      <c r="A8" s="119" t="s">
        <v>49</v>
      </c>
      <c r="B8" s="119"/>
      <c r="C8" s="120" t="s">
        <v>384</v>
      </c>
      <c r="D8" s="120"/>
      <c r="E8" s="19">
        <f>COUNTA('RAW DATA'!C4:C267)</f>
        <v>264</v>
      </c>
      <c r="F8" s="20">
        <v>0</v>
      </c>
      <c r="G8" s="19" t="s">
        <v>13</v>
      </c>
      <c r="H8" s="120" t="s">
        <v>385</v>
      </c>
      <c r="I8" s="120"/>
      <c r="J8" s="120"/>
      <c r="K8" s="120"/>
      <c r="L8" s="19" t="s">
        <v>386</v>
      </c>
    </row>
    <row r="9" spans="1:12" ht="15.75" customHeight="1" x14ac:dyDescent="0.25">
      <c r="A9" s="121" t="s">
        <v>50</v>
      </c>
      <c r="B9" s="121"/>
      <c r="C9" s="122" t="s">
        <v>384</v>
      </c>
      <c r="D9" s="122"/>
      <c r="E9" s="21">
        <f>COUNTA('RAW DATA'!D4:D267)</f>
        <v>264</v>
      </c>
      <c r="F9" s="22">
        <v>0</v>
      </c>
      <c r="G9" s="21" t="s">
        <v>40</v>
      </c>
      <c r="H9" s="122" t="s">
        <v>387</v>
      </c>
      <c r="I9" s="122"/>
      <c r="J9" s="122"/>
      <c r="K9" s="122"/>
      <c r="L9" s="21" t="s">
        <v>388</v>
      </c>
    </row>
    <row r="10" spans="1:12" ht="15.75" customHeight="1" x14ac:dyDescent="0.25">
      <c r="A10" s="119" t="s">
        <v>51</v>
      </c>
      <c r="B10" s="119"/>
      <c r="C10" s="120" t="s">
        <v>389</v>
      </c>
      <c r="D10" s="120"/>
      <c r="E10" s="19">
        <f>COUNTA('RAW DATA'!E4:E267)</f>
        <v>264</v>
      </c>
      <c r="F10" s="20">
        <v>0</v>
      </c>
      <c r="G10" s="19" t="s">
        <v>25</v>
      </c>
      <c r="H10" s="120" t="s">
        <v>390</v>
      </c>
      <c r="I10" s="120"/>
      <c r="J10" s="120"/>
      <c r="K10" s="120"/>
      <c r="L10" s="19" t="s">
        <v>391</v>
      </c>
    </row>
    <row r="11" spans="1:12" ht="15.75" customHeight="1" x14ac:dyDescent="0.25">
      <c r="A11" s="121" t="s">
        <v>52</v>
      </c>
      <c r="B11" s="121"/>
      <c r="C11" s="122" t="s">
        <v>384</v>
      </c>
      <c r="D11" s="122"/>
      <c r="E11" s="21">
        <f>COUNTA('RAW DATA'!F4:F267)</f>
        <v>264</v>
      </c>
      <c r="F11" s="22">
        <v>0</v>
      </c>
      <c r="G11" s="21" t="s">
        <v>42</v>
      </c>
      <c r="H11" s="122" t="s">
        <v>392</v>
      </c>
      <c r="I11" s="122"/>
      <c r="J11" s="122"/>
      <c r="K11" s="122"/>
      <c r="L11" s="21" t="s">
        <v>393</v>
      </c>
    </row>
    <row r="12" spans="1:12" ht="15.75" customHeight="1" x14ac:dyDescent="0.25">
      <c r="A12" s="119" t="s">
        <v>53</v>
      </c>
      <c r="B12" s="119"/>
      <c r="C12" s="120" t="s">
        <v>384</v>
      </c>
      <c r="D12" s="120"/>
      <c r="E12" s="19">
        <f>COUNTA('RAW DATA'!G4:G267)</f>
        <v>264</v>
      </c>
      <c r="F12" s="20">
        <v>0</v>
      </c>
      <c r="G12" s="19" t="s">
        <v>22</v>
      </c>
      <c r="H12" s="120" t="s">
        <v>394</v>
      </c>
      <c r="I12" s="120"/>
      <c r="J12" s="120"/>
      <c r="K12" s="120"/>
      <c r="L12" s="19" t="s">
        <v>395</v>
      </c>
    </row>
    <row r="13" spans="1:12" ht="15.75" customHeight="1" x14ac:dyDescent="0.25">
      <c r="A13" s="121" t="s">
        <v>54</v>
      </c>
      <c r="B13" s="121"/>
      <c r="C13" s="122" t="s">
        <v>396</v>
      </c>
      <c r="D13" s="122"/>
      <c r="E13" s="21">
        <f>COUNTA('RAW DATA'!H4:H267)</f>
        <v>264</v>
      </c>
      <c r="F13" s="22">
        <v>0</v>
      </c>
      <c r="G13" s="21" t="s">
        <v>397</v>
      </c>
      <c r="H13" s="122" t="s">
        <v>398</v>
      </c>
      <c r="I13" s="122"/>
      <c r="J13" s="122"/>
      <c r="K13" s="122"/>
      <c r="L13" s="21" t="s">
        <v>399</v>
      </c>
    </row>
    <row r="14" spans="1:12" ht="15.75" customHeight="1" x14ac:dyDescent="0.25">
      <c r="A14" s="119" t="s">
        <v>55</v>
      </c>
      <c r="B14" s="119"/>
      <c r="C14" s="120" t="s">
        <v>400</v>
      </c>
      <c r="D14" s="120"/>
      <c r="E14" s="19">
        <f>COUNTA('RAW DATA'!I4:I267)</f>
        <v>264</v>
      </c>
      <c r="F14" s="20">
        <v>0</v>
      </c>
      <c r="G14" s="19" t="s">
        <v>397</v>
      </c>
      <c r="H14" s="120" t="s">
        <v>398</v>
      </c>
      <c r="I14" s="120"/>
      <c r="J14" s="120"/>
      <c r="K14" s="120"/>
      <c r="L14" s="19" t="s">
        <v>401</v>
      </c>
    </row>
    <row r="15" spans="1:12" ht="15.75" customHeight="1" x14ac:dyDescent="0.25">
      <c r="A15" s="121" t="s">
        <v>56</v>
      </c>
      <c r="B15" s="121"/>
      <c r="C15" s="122" t="s">
        <v>402</v>
      </c>
      <c r="D15" s="122"/>
      <c r="E15" s="21">
        <f>COUNTA('RAW DATA'!J4:J267)</f>
        <v>264</v>
      </c>
      <c r="F15" s="22">
        <v>0</v>
      </c>
      <c r="G15" s="21" t="s">
        <v>397</v>
      </c>
      <c r="H15" s="122" t="s">
        <v>398</v>
      </c>
      <c r="I15" s="122"/>
      <c r="J15" s="122"/>
      <c r="K15" s="122"/>
      <c r="L15" s="21" t="s">
        <v>403</v>
      </c>
    </row>
    <row r="16" spans="1:12" ht="15.75" customHeight="1" x14ac:dyDescent="0.25">
      <c r="A16" s="119" t="s">
        <v>57</v>
      </c>
      <c r="B16" s="119"/>
      <c r="C16" s="120" t="s">
        <v>384</v>
      </c>
      <c r="D16" s="120"/>
      <c r="E16" s="19">
        <f>COUNTA('RAW DATA'!K4:K267)</f>
        <v>264</v>
      </c>
      <c r="F16" s="20">
        <v>0</v>
      </c>
      <c r="G16" s="19" t="s">
        <v>13</v>
      </c>
      <c r="H16" s="120" t="s">
        <v>404</v>
      </c>
      <c r="I16" s="120"/>
      <c r="J16" s="120"/>
      <c r="K16" s="120"/>
      <c r="L16" s="19" t="s">
        <v>405</v>
      </c>
    </row>
    <row r="19" spans="1:12" ht="15" customHeight="1" x14ac:dyDescent="0.25">
      <c r="A19" s="115" t="s">
        <v>406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</row>
    <row r="20" spans="1:12" ht="18" customHeight="1" x14ac:dyDescent="0.25">
      <c r="A20" s="23" t="s">
        <v>407</v>
      </c>
      <c r="C20" s="23" t="s">
        <v>408</v>
      </c>
      <c r="D20" s="23" t="s">
        <v>409</v>
      </c>
      <c r="E20" s="23" t="s">
        <v>410</v>
      </c>
      <c r="F20" s="23" t="s">
        <v>411</v>
      </c>
      <c r="G20" s="23" t="s">
        <v>412</v>
      </c>
      <c r="H20" s="23" t="s">
        <v>413</v>
      </c>
      <c r="I20" s="23" t="s">
        <v>414</v>
      </c>
      <c r="J20" s="23" t="s">
        <v>415</v>
      </c>
      <c r="K20" s="23" t="s">
        <v>416</v>
      </c>
      <c r="L20" s="23" t="s">
        <v>417</v>
      </c>
    </row>
    <row r="21" spans="1:12" ht="18" customHeight="1" x14ac:dyDescent="0.25">
      <c r="A21" s="123" t="s">
        <v>418</v>
      </c>
      <c r="B21" s="123"/>
      <c r="C21" s="25">
        <f>MIN('RAW DATA'!H4:H267)</f>
        <v>112</v>
      </c>
      <c r="D21" s="25">
        <f>MAX('RAW DATA'!H4:H267)</f>
        <v>18200</v>
      </c>
      <c r="E21" s="25">
        <f>AVERAGE('RAW DATA'!H4:H267)</f>
        <v>2471.9242424242425</v>
      </c>
      <c r="F21" s="25">
        <f>MEDIAN('RAW DATA'!H4:H267)</f>
        <v>1740</v>
      </c>
      <c r="G21" s="25">
        <f>STDEV('RAW DATA'!H4:H267)</f>
        <v>2450.5940293938047</v>
      </c>
      <c r="H21" s="25">
        <f>PERCENTILE('RAW DATA'!H4:H267,0.25)</f>
        <v>1015</v>
      </c>
      <c r="I21" s="25">
        <f>PERCENTILE('RAW DATA'!H4:H267,0.75)</f>
        <v>2942.5</v>
      </c>
      <c r="J21" s="26">
        <f>IFERROR(STDEV('RAW DATA'!H4:H267)/AVERAGE('RAW DATA'!H4:H267),0)</f>
        <v>0.99137100859955196</v>
      </c>
      <c r="K21" s="27" t="s">
        <v>419</v>
      </c>
      <c r="L21" s="28"/>
    </row>
    <row r="22" spans="1:12" ht="18" customHeight="1" x14ac:dyDescent="0.25">
      <c r="A22" s="124" t="s">
        <v>420</v>
      </c>
      <c r="B22" s="124"/>
      <c r="C22" s="30">
        <f>MIN('RAW DATA'!I4:I267)</f>
        <v>30</v>
      </c>
      <c r="D22" s="30">
        <f>MAX('RAW DATA'!I4:I267)</f>
        <v>87200</v>
      </c>
      <c r="E22" s="30">
        <f>AVERAGE('RAW DATA'!I4:I267)</f>
        <v>5583.9840909090899</v>
      </c>
      <c r="F22" s="30">
        <f>MEDIAN('RAW DATA'!I4:I267)</f>
        <v>1388.9</v>
      </c>
      <c r="G22" s="30">
        <f>STDEV('RAW DATA'!I4:I267)</f>
        <v>12704.477304731508</v>
      </c>
      <c r="H22" s="30">
        <f>PERCENTILE('RAW DATA'!I4:I267,0.25)</f>
        <v>438.82499999999999</v>
      </c>
      <c r="I22" s="30">
        <f>PERCENTILE('RAW DATA'!I4:I267,0.75)</f>
        <v>3183.625</v>
      </c>
      <c r="J22" s="26">
        <f>IFERROR(STDEV('RAW DATA'!I4:I267)/AVERAGE('RAW DATA'!I4:I267),0)</f>
        <v>2.2751635924992724</v>
      </c>
      <c r="K22" s="31" t="s">
        <v>421</v>
      </c>
      <c r="L22" s="32"/>
    </row>
    <row r="23" spans="1:12" ht="18" customHeight="1" x14ac:dyDescent="0.25">
      <c r="A23" s="123" t="s">
        <v>422</v>
      </c>
      <c r="B23" s="123"/>
      <c r="C23" s="33">
        <f>MIN('RAW DATA'!J4:J267)</f>
        <v>65</v>
      </c>
      <c r="D23" s="33">
        <f>MAX('RAW DATA'!J4:J267)</f>
        <v>26000</v>
      </c>
      <c r="E23" s="33">
        <f>AVERAGE('RAW DATA'!J4:J267)</f>
        <v>2913.503787878788</v>
      </c>
      <c r="F23" s="33">
        <f>MEDIAN('RAW DATA'!J4:J267)</f>
        <v>1100</v>
      </c>
      <c r="G23" s="33">
        <f>STDEV('RAW DATA'!J4:J267)</f>
        <v>4713.9189189176859</v>
      </c>
      <c r="H23" s="33">
        <f>PERCENTILE('RAW DATA'!J4:J267,0.25)</f>
        <v>640</v>
      </c>
      <c r="I23" s="33">
        <f>PERCENTILE('RAW DATA'!J4:J267,0.75)</f>
        <v>3300</v>
      </c>
      <c r="J23" s="26">
        <f>IFERROR(STDEV('RAW DATA'!J4:J267)/AVERAGE('RAW DATA'!J4:J267),0)</f>
        <v>1.6179553081513967</v>
      </c>
      <c r="K23" s="27" t="s">
        <v>423</v>
      </c>
      <c r="L23" s="28"/>
    </row>
    <row r="25" spans="1:12" ht="15" customHeight="1" x14ac:dyDescent="0.25">
      <c r="A25" s="106" t="s">
        <v>424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</row>
    <row r="26" spans="1:12" x14ac:dyDescent="0.25">
      <c r="A26" s="34" t="s">
        <v>425</v>
      </c>
      <c r="B26" s="34" t="s">
        <v>426</v>
      </c>
      <c r="C26" s="34" t="s">
        <v>427</v>
      </c>
      <c r="D26" s="34"/>
      <c r="E26" s="34" t="s">
        <v>50</v>
      </c>
      <c r="G26" s="34" t="s">
        <v>426</v>
      </c>
      <c r="H26" s="34" t="s">
        <v>428</v>
      </c>
      <c r="I26" s="34" t="s">
        <v>429</v>
      </c>
      <c r="J26" s="34" t="s">
        <v>427</v>
      </c>
    </row>
    <row r="27" spans="1:12" ht="15.75" customHeight="1" x14ac:dyDescent="0.25">
      <c r="A27" s="13" t="s">
        <v>59</v>
      </c>
      <c r="B27" s="35">
        <f>COUNTIF('RAW DATA'!C4:C267,"Export")</f>
        <v>132</v>
      </c>
      <c r="C27" s="36">
        <f>COUNTIF('RAW DATA'!C4:C267,"Export")/COUNTA('RAW DATA'!C4:C267)</f>
        <v>0.5</v>
      </c>
      <c r="E27" s="123" t="s">
        <v>60</v>
      </c>
      <c r="F27" s="123"/>
      <c r="G27" s="35">
        <f>COUNTIF('RAW DATA'!D4:D267,E27)</f>
        <v>30</v>
      </c>
      <c r="H27" s="37">
        <f>COUNTIFS('RAW DATA'!D4:D267,E27,'RAW DATA'!C4:C267,"Export")</f>
        <v>30</v>
      </c>
      <c r="I27" s="38">
        <f>COUNTIFS('RAW DATA'!D4:D267,E27,'RAW DATA'!C4:C267,"Import")</f>
        <v>0</v>
      </c>
      <c r="J27" s="36">
        <f>IFERROR(G27/COUNTA('RAW DATA'!D4:D267),0)</f>
        <v>0.11363636363636363</v>
      </c>
    </row>
    <row r="28" spans="1:12" ht="15.75" customHeight="1" x14ac:dyDescent="0.25">
      <c r="A28" s="17" t="s">
        <v>218</v>
      </c>
      <c r="B28" s="35">
        <f>COUNTIF('RAW DATA'!C4:C267,"Import")</f>
        <v>132</v>
      </c>
      <c r="C28" s="36">
        <f>COUNTIF('RAW DATA'!C4:C267,"Import")/COUNTA('RAW DATA'!C4:C267)</f>
        <v>0.5</v>
      </c>
      <c r="E28" s="124" t="s">
        <v>101</v>
      </c>
      <c r="F28" s="124"/>
      <c r="G28" s="35">
        <f>COUNTIF('RAW DATA'!D4:D267,E28)</f>
        <v>30</v>
      </c>
      <c r="H28" s="37">
        <f>COUNTIFS('RAW DATA'!D4:D267,E28,'RAW DATA'!C4:C267,"Export")</f>
        <v>30</v>
      </c>
      <c r="I28" s="38">
        <f>COUNTIFS('RAW DATA'!D4:D267,E28,'RAW DATA'!C4:C267,"Import")</f>
        <v>0</v>
      </c>
      <c r="J28" s="36">
        <f>IFERROR(G28/COUNTA('RAW DATA'!D4:D267),0)</f>
        <v>0.11363636363636363</v>
      </c>
    </row>
    <row r="29" spans="1:12" ht="15.75" customHeight="1" x14ac:dyDescent="0.25">
      <c r="E29" s="123" t="s">
        <v>136</v>
      </c>
      <c r="F29" s="123"/>
      <c r="G29" s="35">
        <f>COUNTIF('RAW DATA'!D4:D267,E29)</f>
        <v>18</v>
      </c>
      <c r="H29" s="37">
        <f>COUNTIFS('RAW DATA'!D4:D267,E29,'RAW DATA'!C4:C267,"Export")</f>
        <v>18</v>
      </c>
      <c r="I29" s="38">
        <f>COUNTIFS('RAW DATA'!D4:D267,E29,'RAW DATA'!C4:C267,"Import")</f>
        <v>0</v>
      </c>
      <c r="J29" s="36">
        <f>IFERROR(G29/COUNTA('RAW DATA'!D4:D267),0)</f>
        <v>6.8181818181818177E-2</v>
      </c>
    </row>
    <row r="30" spans="1:12" ht="15.75" customHeight="1" x14ac:dyDescent="0.25">
      <c r="E30" s="124" t="s">
        <v>156</v>
      </c>
      <c r="F30" s="124"/>
      <c r="G30" s="35">
        <f>COUNTIF('RAW DATA'!D4:D267,E30)</f>
        <v>18</v>
      </c>
      <c r="H30" s="37">
        <f>COUNTIFS('RAW DATA'!D4:D267,E30,'RAW DATA'!C4:C267,"Export")</f>
        <v>18</v>
      </c>
      <c r="I30" s="38">
        <f>COUNTIFS('RAW DATA'!D4:D267,E30,'RAW DATA'!C4:C267,"Import")</f>
        <v>0</v>
      </c>
      <c r="J30" s="36">
        <f>IFERROR(G30/COUNTA('RAW DATA'!D4:D267),0)</f>
        <v>6.8181818181818177E-2</v>
      </c>
    </row>
    <row r="31" spans="1:12" ht="15.75" customHeight="1" x14ac:dyDescent="0.25">
      <c r="E31" s="123" t="s">
        <v>178</v>
      </c>
      <c r="F31" s="123"/>
      <c r="G31" s="35">
        <f>COUNTIF('RAW DATA'!D4:D267,E31)</f>
        <v>18</v>
      </c>
      <c r="H31" s="37">
        <f>COUNTIFS('RAW DATA'!D4:D267,E31,'RAW DATA'!C4:C267,"Export")</f>
        <v>18</v>
      </c>
      <c r="I31" s="38">
        <f>COUNTIFS('RAW DATA'!D4:D267,E31,'RAW DATA'!C4:C267,"Import")</f>
        <v>0</v>
      </c>
      <c r="J31" s="36">
        <f>IFERROR(G31/COUNTA('RAW DATA'!D4:D267),0)</f>
        <v>6.8181818181818177E-2</v>
      </c>
    </row>
    <row r="32" spans="1:12" ht="15.75" customHeight="1" x14ac:dyDescent="0.25">
      <c r="E32" s="124" t="s">
        <v>198</v>
      </c>
      <c r="F32" s="124"/>
      <c r="G32" s="35">
        <f>COUNTIF('RAW DATA'!D4:D267,E32)</f>
        <v>18</v>
      </c>
      <c r="H32" s="37">
        <f>COUNTIFS('RAW DATA'!D4:D267,E32,'RAW DATA'!C4:C267,"Export")</f>
        <v>18</v>
      </c>
      <c r="I32" s="38">
        <f>COUNTIFS('RAW DATA'!D4:D267,E32,'RAW DATA'!C4:C267,"Import")</f>
        <v>0</v>
      </c>
      <c r="J32" s="36">
        <f>IFERROR(G32/COUNTA('RAW DATA'!D4:D267),0)</f>
        <v>6.8181818181818177E-2</v>
      </c>
    </row>
    <row r="33" spans="1:12" ht="15.75" customHeight="1" x14ac:dyDescent="0.25">
      <c r="E33" s="123" t="s">
        <v>219</v>
      </c>
      <c r="F33" s="123"/>
      <c r="G33" s="35">
        <f>COUNTIF('RAW DATA'!D4:D267,E33)</f>
        <v>30</v>
      </c>
      <c r="H33" s="37">
        <f>COUNTIFS('RAW DATA'!D4:D267,E33,'RAW DATA'!C4:C267,"Export")</f>
        <v>0</v>
      </c>
      <c r="I33" s="38">
        <f>COUNTIFS('RAW DATA'!D4:D267,E33,'RAW DATA'!C4:C267,"Import")</f>
        <v>30</v>
      </c>
      <c r="J33" s="36">
        <f>IFERROR(G33/COUNTA('RAW DATA'!D4:D267),0)</f>
        <v>0.11363636363636363</v>
      </c>
    </row>
    <row r="34" spans="1:12" ht="15.75" customHeight="1" x14ac:dyDescent="0.25">
      <c r="E34" s="124" t="s">
        <v>252</v>
      </c>
      <c r="F34" s="124"/>
      <c r="G34" s="35">
        <f>COUNTIF('RAW DATA'!D4:D267,E34)</f>
        <v>30</v>
      </c>
      <c r="H34" s="37">
        <f>COUNTIFS('RAW DATA'!D4:D267,E34,'RAW DATA'!C4:C267,"Export")</f>
        <v>0</v>
      </c>
      <c r="I34" s="38">
        <f>COUNTIFS('RAW DATA'!D4:D267,E34,'RAW DATA'!C4:C267,"Import")</f>
        <v>30</v>
      </c>
      <c r="J34" s="36">
        <f>IFERROR(G34/COUNTA('RAW DATA'!D4:D267),0)</f>
        <v>0.11363636363636363</v>
      </c>
    </row>
    <row r="35" spans="1:12" ht="15.75" customHeight="1" x14ac:dyDescent="0.25">
      <c r="E35" s="123" t="s">
        <v>285</v>
      </c>
      <c r="F35" s="123"/>
      <c r="G35" s="35">
        <f>COUNTIF('RAW DATA'!D4:D267,E35)</f>
        <v>18</v>
      </c>
      <c r="H35" s="37">
        <f>COUNTIFS('RAW DATA'!D4:D267,E35,'RAW DATA'!C4:C267,"Export")</f>
        <v>0</v>
      </c>
      <c r="I35" s="38">
        <f>COUNTIFS('RAW DATA'!D4:D267,E35,'RAW DATA'!C4:C267,"Import")</f>
        <v>18</v>
      </c>
      <c r="J35" s="36">
        <f>IFERROR(G35/COUNTA('RAW DATA'!D4:D267),0)</f>
        <v>6.8181818181818177E-2</v>
      </c>
    </row>
    <row r="36" spans="1:12" ht="15.75" customHeight="1" x14ac:dyDescent="0.25">
      <c r="E36" s="124" t="s">
        <v>306</v>
      </c>
      <c r="F36" s="124"/>
      <c r="G36" s="35">
        <f>COUNTIF('RAW DATA'!D4:D267,E36)</f>
        <v>18</v>
      </c>
      <c r="H36" s="37">
        <f>COUNTIFS('RAW DATA'!D4:D267,E36,'RAW DATA'!C4:C267,"Export")</f>
        <v>0</v>
      </c>
      <c r="I36" s="38">
        <f>COUNTIFS('RAW DATA'!D4:D267,E36,'RAW DATA'!C4:C267,"Import")</f>
        <v>18</v>
      </c>
      <c r="J36" s="36">
        <f>IFERROR(G36/COUNTA('RAW DATA'!D4:D267),0)</f>
        <v>6.8181818181818177E-2</v>
      </c>
    </row>
    <row r="37" spans="1:12" ht="15.75" customHeight="1" x14ac:dyDescent="0.25">
      <c r="E37" s="123" t="s">
        <v>326</v>
      </c>
      <c r="F37" s="123"/>
      <c r="G37" s="35">
        <f>COUNTIF('RAW DATA'!D4:D267,E37)</f>
        <v>18</v>
      </c>
      <c r="H37" s="37">
        <f>COUNTIFS('RAW DATA'!D4:D267,E37,'RAW DATA'!C4:C267,"Export")</f>
        <v>0</v>
      </c>
      <c r="I37" s="38">
        <f>COUNTIFS('RAW DATA'!D4:D267,E37,'RAW DATA'!C4:C267,"Import")</f>
        <v>18</v>
      </c>
      <c r="J37" s="36">
        <f>IFERROR(G37/COUNTA('RAW DATA'!D4:D267),0)</f>
        <v>6.8181818181818177E-2</v>
      </c>
    </row>
    <row r="38" spans="1:12" ht="15.75" customHeight="1" x14ac:dyDescent="0.25">
      <c r="E38" s="124" t="s">
        <v>350</v>
      </c>
      <c r="F38" s="124"/>
      <c r="G38" s="35">
        <f>COUNTIF('RAW DATA'!D4:D267,E38)</f>
        <v>18</v>
      </c>
      <c r="H38" s="37">
        <f>COUNTIFS('RAW DATA'!D4:D267,E38,'RAW DATA'!C4:C267,"Export")</f>
        <v>0</v>
      </c>
      <c r="I38" s="38">
        <f>COUNTIFS('RAW DATA'!D4:D267,E38,'RAW DATA'!C4:C267,"Import")</f>
        <v>18</v>
      </c>
      <c r="J38" s="36">
        <f>IFERROR(G38/COUNTA('RAW DATA'!D4:D267),0)</f>
        <v>6.8181818181818177E-2</v>
      </c>
    </row>
    <row r="40" spans="1:12" ht="27.75" customHeight="1" x14ac:dyDescent="0.25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</row>
  </sheetData>
  <mergeCells count="54">
    <mergeCell ref="E37:F37"/>
    <mergeCell ref="E38:F38"/>
    <mergeCell ref="A40:L40"/>
    <mergeCell ref="E32:F32"/>
    <mergeCell ref="E33:F33"/>
    <mergeCell ref="E34:F34"/>
    <mergeCell ref="E35:F35"/>
    <mergeCell ref="E36:F36"/>
    <mergeCell ref="E27:F27"/>
    <mergeCell ref="E28:F28"/>
    <mergeCell ref="E29:F29"/>
    <mergeCell ref="E30:F30"/>
    <mergeCell ref="E31:F31"/>
    <mergeCell ref="A19:L19"/>
    <mergeCell ref="A21:B21"/>
    <mergeCell ref="A22:B22"/>
    <mergeCell ref="A23:B23"/>
    <mergeCell ref="A25:L25"/>
    <mergeCell ref="A15:B15"/>
    <mergeCell ref="C15:D15"/>
    <mergeCell ref="H15:K15"/>
    <mergeCell ref="A16:B16"/>
    <mergeCell ref="C16:D16"/>
    <mergeCell ref="H16:K16"/>
    <mergeCell ref="A13:B13"/>
    <mergeCell ref="C13:D13"/>
    <mergeCell ref="H13:K13"/>
    <mergeCell ref="A14:B14"/>
    <mergeCell ref="C14:D14"/>
    <mergeCell ref="H14:K14"/>
    <mergeCell ref="A11:B11"/>
    <mergeCell ref="C11:D11"/>
    <mergeCell ref="H11:K11"/>
    <mergeCell ref="A12:B12"/>
    <mergeCell ref="C12:D12"/>
    <mergeCell ref="H12:K12"/>
    <mergeCell ref="A9:B9"/>
    <mergeCell ref="C9:D9"/>
    <mergeCell ref="H9:K9"/>
    <mergeCell ref="A10:B10"/>
    <mergeCell ref="C10:D10"/>
    <mergeCell ref="H10:K10"/>
    <mergeCell ref="A7:B7"/>
    <mergeCell ref="C7:D7"/>
    <mergeCell ref="H7:K7"/>
    <mergeCell ref="A8:B8"/>
    <mergeCell ref="C8:D8"/>
    <mergeCell ref="H8:K8"/>
    <mergeCell ref="A1:L1"/>
    <mergeCell ref="A2:L2"/>
    <mergeCell ref="A4:L4"/>
    <mergeCell ref="A6:B6"/>
    <mergeCell ref="C6:D6"/>
    <mergeCell ref="H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952A"/>
  </sheetPr>
  <dimension ref="A1:M33"/>
  <sheetViews>
    <sheetView showGridLines="0" topLeftCell="A48" zoomScaleNormal="100" workbookViewId="0">
      <selection activeCell="J33" sqref="J33"/>
    </sheetView>
  </sheetViews>
  <sheetFormatPr defaultColWidth="8.7109375" defaultRowHeight="15" x14ac:dyDescent="0.25"/>
  <cols>
    <col min="1" max="1" width="17.5703125" bestFit="1" customWidth="1"/>
    <col min="2" max="2" width="6.28515625" bestFit="1" customWidth="1"/>
    <col min="3" max="3" width="10.28515625" bestFit="1" customWidth="1"/>
    <col min="4" max="4" width="11.7109375" bestFit="1" customWidth="1"/>
    <col min="5" max="5" width="7.7109375" bestFit="1" customWidth="1"/>
    <col min="6" max="6" width="8.28515625" bestFit="1" customWidth="1"/>
    <col min="7" max="7" width="11.7109375" bestFit="1" customWidth="1"/>
    <col min="8" max="8" width="3" customWidth="1"/>
    <col min="9" max="9" width="11.28515625" bestFit="1" customWidth="1"/>
    <col min="10" max="10" width="7.85546875" bestFit="1" customWidth="1"/>
    <col min="11" max="11" width="8.7109375" bestFit="1" customWidth="1"/>
    <col min="12" max="13" width="13.7109375" bestFit="1" customWidth="1"/>
  </cols>
  <sheetData>
    <row r="1" spans="1:13" ht="27.75" customHeight="1" x14ac:dyDescent="0.25">
      <c r="A1" s="117" t="s">
        <v>430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8" customHeight="1" x14ac:dyDescent="0.25">
      <c r="A2" s="118" t="s">
        <v>431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4" spans="1:13" ht="15" customHeight="1" x14ac:dyDescent="0.25">
      <c r="A4" s="108" t="s">
        <v>432</v>
      </c>
      <c r="B4" s="108"/>
      <c r="C4" s="108"/>
      <c r="D4" s="108"/>
      <c r="E4" s="108"/>
      <c r="F4" s="108"/>
      <c r="G4" s="108"/>
      <c r="I4" s="106" t="s">
        <v>433</v>
      </c>
      <c r="J4" s="106"/>
      <c r="K4" s="106"/>
      <c r="L4" s="106"/>
      <c r="M4" s="106"/>
    </row>
    <row r="5" spans="1:13" x14ac:dyDescent="0.25">
      <c r="A5" s="5" t="s">
        <v>50</v>
      </c>
      <c r="B5" s="5" t="s">
        <v>434</v>
      </c>
      <c r="C5" s="5" t="s">
        <v>435</v>
      </c>
      <c r="D5" s="5" t="s">
        <v>436</v>
      </c>
      <c r="E5" s="5" t="s">
        <v>437</v>
      </c>
      <c r="F5" s="5" t="s">
        <v>438</v>
      </c>
      <c r="G5" s="5" t="s">
        <v>439</v>
      </c>
      <c r="I5" s="34" t="s">
        <v>440</v>
      </c>
      <c r="J5" s="34" t="s">
        <v>441</v>
      </c>
      <c r="K5" s="34" t="s">
        <v>427</v>
      </c>
      <c r="L5" s="34" t="s">
        <v>34</v>
      </c>
      <c r="M5" s="34" t="s">
        <v>36</v>
      </c>
    </row>
    <row r="6" spans="1:13" ht="15.75" customHeight="1" x14ac:dyDescent="0.25">
      <c r="A6" s="39" t="s">
        <v>60</v>
      </c>
      <c r="B6" s="40" t="s">
        <v>59</v>
      </c>
      <c r="C6" s="41">
        <f>SUMIF('RAW DATA'!D4:D267,A6,'RAW DATA'!H4:H267)</f>
        <v>88270</v>
      </c>
      <c r="D6" s="41">
        <f>IFERROR(AVERAGEIF('RAW DATA'!D4:D267,A6,'RAW DATA'!H4:H267),0)</f>
        <v>2942.3333333333335</v>
      </c>
      <c r="E6" s="41">
        <f>IFERROR(MIN(IF('RAW DATA'!D4:D267=A6,'RAW DATA'!H4:H267)),0)</f>
        <v>112</v>
      </c>
      <c r="F6" s="41">
        <f>IFERROR(MAX(IF('RAW DATA'!D4:D267=A6,'RAW DATA'!H4:H267)),0)</f>
        <v>18200</v>
      </c>
      <c r="G6" s="41">
        <f>IFERROR(STDEV(IF('RAW DATA'!D4:D267=A6,'RAW DATA'!H4:H267)),0)</f>
        <v>2450.5940293938047</v>
      </c>
      <c r="I6" s="29" t="s">
        <v>70</v>
      </c>
      <c r="J6" s="35">
        <f>COUNTIF('RAW DATA'!F4:F267,I6)</f>
        <v>54</v>
      </c>
      <c r="K6" s="36">
        <f>IFERROR(COUNTIF('RAW DATA'!F4:F267,I6)/COUNTA('RAW DATA'!F4:F267),0)</f>
        <v>0.20454545454545456</v>
      </c>
      <c r="L6" s="35">
        <f>COUNTIFS('RAW DATA'!F4:F267,I6,'RAW DATA'!C4:C267,"Export")</f>
        <v>30</v>
      </c>
      <c r="M6" s="35">
        <f>COUNTIFS('RAW DATA'!F4:F267,I6,'RAW DATA'!C4:C267,"Import")</f>
        <v>24</v>
      </c>
    </row>
    <row r="7" spans="1:13" ht="15.75" customHeight="1" x14ac:dyDescent="0.25">
      <c r="A7" s="39" t="s">
        <v>101</v>
      </c>
      <c r="B7" s="40" t="s">
        <v>59</v>
      </c>
      <c r="C7" s="41">
        <f>SUMIF('RAW DATA'!D4:D267,A7,'RAW DATA'!H4:H267)</f>
        <v>148610</v>
      </c>
      <c r="D7" s="41">
        <f>IFERROR(AVERAGEIF('RAW DATA'!D4:D267,A7,'RAW DATA'!H4:H267),0)</f>
        <v>4953.666666666667</v>
      </c>
      <c r="E7" s="41">
        <f>IFERROR(MIN(IF('RAW DATA'!D4:D267=A7,'RAW DATA'!H4:H267)),0)</f>
        <v>0</v>
      </c>
      <c r="F7" s="41">
        <f>IFERROR(MAX(IF('RAW DATA'!D4:D267=A7,'RAW DATA'!H4:H267)),0)</f>
        <v>0</v>
      </c>
      <c r="G7" s="41">
        <f>IFERROR(STDEV(IF('RAW DATA'!D4:D267=A7,'RAW DATA'!H4:H267)),0)</f>
        <v>0</v>
      </c>
      <c r="I7" s="24" t="s">
        <v>61</v>
      </c>
      <c r="J7" s="35">
        <f>COUNTIF('RAW DATA'!F4:F267,I7)</f>
        <v>12</v>
      </c>
      <c r="K7" s="36">
        <f>IFERROR(COUNTIF('RAW DATA'!F4:F267,I7)/COUNTA('RAW DATA'!F4:F267),0)</f>
        <v>4.5454545454545456E-2</v>
      </c>
      <c r="L7" s="35">
        <f>COUNTIFS('RAW DATA'!F4:F267,I7,'RAW DATA'!C4:C267,"Export")</f>
        <v>12</v>
      </c>
      <c r="M7" s="35">
        <f>COUNTIFS('RAW DATA'!F4:F267,I7,'RAW DATA'!C4:C267,"Import")</f>
        <v>0</v>
      </c>
    </row>
    <row r="8" spans="1:13" ht="15.75" customHeight="1" x14ac:dyDescent="0.25">
      <c r="A8" s="39" t="s">
        <v>136</v>
      </c>
      <c r="B8" s="40" t="s">
        <v>59</v>
      </c>
      <c r="C8" s="41">
        <f>SUMIF('RAW DATA'!D4:D267,A8,'RAW DATA'!H4:H267)</f>
        <v>79130</v>
      </c>
      <c r="D8" s="41">
        <f>IFERROR(AVERAGEIF('RAW DATA'!D4:D267,A8,'RAW DATA'!H4:H267),0)</f>
        <v>4396.1111111111113</v>
      </c>
      <c r="E8" s="41">
        <f>IFERROR(MIN(IF('RAW DATA'!D4:D267=A8,'RAW DATA'!H4:H267)),0)</f>
        <v>0</v>
      </c>
      <c r="F8" s="41">
        <f>IFERROR(MAX(IF('RAW DATA'!D4:D267=A8,'RAW DATA'!H4:H267)),0)</f>
        <v>0</v>
      </c>
      <c r="G8" s="41">
        <f>IFERROR(STDEV(IF('RAW DATA'!D4:D267=A8,'RAW DATA'!H4:H267)),0)</f>
        <v>0</v>
      </c>
      <c r="I8" s="29" t="s">
        <v>115</v>
      </c>
      <c r="J8" s="35">
        <f>COUNTIF('RAW DATA'!F4:F267,I8)</f>
        <v>48</v>
      </c>
      <c r="K8" s="36">
        <f>IFERROR(COUNTIF('RAW DATA'!F4:F267,I8)/COUNTA('RAW DATA'!F4:F267),0)</f>
        <v>0.18181818181818182</v>
      </c>
      <c r="L8" s="35">
        <f>COUNTIFS('RAW DATA'!F4:F267,I8,'RAW DATA'!C4:C267,"Export")</f>
        <v>30</v>
      </c>
      <c r="M8" s="35">
        <f>COUNTIFS('RAW DATA'!F4:F267,I8,'RAW DATA'!C4:C267,"Import")</f>
        <v>18</v>
      </c>
    </row>
    <row r="9" spans="1:13" ht="15.75" customHeight="1" x14ac:dyDescent="0.25">
      <c r="A9" s="39" t="s">
        <v>156</v>
      </c>
      <c r="B9" s="40" t="s">
        <v>59</v>
      </c>
      <c r="C9" s="41">
        <f>SUMIF('RAW DATA'!D4:D267,A9,'RAW DATA'!H4:H267)</f>
        <v>20330</v>
      </c>
      <c r="D9" s="41">
        <f>IFERROR(AVERAGEIF('RAW DATA'!D4:D267,A9,'RAW DATA'!H4:H267),0)</f>
        <v>1129.4444444444443</v>
      </c>
      <c r="E9" s="41">
        <f>IFERROR(MIN(IF('RAW DATA'!D4:D267=A9,'RAW DATA'!H4:H267)),0)</f>
        <v>0</v>
      </c>
      <c r="F9" s="41">
        <f>IFERROR(MAX(IF('RAW DATA'!D4:D267=A9,'RAW DATA'!H4:H267)),0)</f>
        <v>0</v>
      </c>
      <c r="G9" s="41">
        <f>IFERROR(STDEV(IF('RAW DATA'!D4:D267=A9,'RAW DATA'!H4:H267)),0)</f>
        <v>0</v>
      </c>
      <c r="I9" s="24" t="s">
        <v>164</v>
      </c>
      <c r="J9" s="35">
        <f>COUNTIF('RAW DATA'!F4:F267,I9)</f>
        <v>24</v>
      </c>
      <c r="K9" s="36">
        <f>IFERROR(COUNTIF('RAW DATA'!F4:F267,I9)/COUNTA('RAW DATA'!F4:F267),0)</f>
        <v>9.0909090909090912E-2</v>
      </c>
      <c r="L9" s="35">
        <f>COUNTIFS('RAW DATA'!F4:F267,I9,'RAW DATA'!C4:C267,"Export")</f>
        <v>12</v>
      </c>
      <c r="M9" s="35">
        <f>COUNTIFS('RAW DATA'!F4:F267,I9,'RAW DATA'!C4:C267,"Import")</f>
        <v>12</v>
      </c>
    </row>
    <row r="10" spans="1:13" ht="15.75" customHeight="1" x14ac:dyDescent="0.25">
      <c r="A10" s="39" t="s">
        <v>178</v>
      </c>
      <c r="B10" s="40" t="s">
        <v>59</v>
      </c>
      <c r="C10" s="41">
        <f>SUMIF('RAW DATA'!D4:D267,A10,'RAW DATA'!H4:H267)</f>
        <v>37720</v>
      </c>
      <c r="D10" s="41">
        <f>IFERROR(AVERAGEIF('RAW DATA'!D4:D267,A10,'RAW DATA'!H4:H267),0)</f>
        <v>2095.5555555555557</v>
      </c>
      <c r="E10" s="41">
        <f>IFERROR(MIN(IF('RAW DATA'!D4:D267=A10,'RAW DATA'!H4:H267)),0)</f>
        <v>0</v>
      </c>
      <c r="F10" s="41">
        <f>IFERROR(MAX(IF('RAW DATA'!D4:D267=A10,'RAW DATA'!H4:H267)),0)</f>
        <v>0</v>
      </c>
      <c r="G10" s="41">
        <f>IFERROR(STDEV(IF('RAW DATA'!D4:D267=A10,'RAW DATA'!H4:H267)),0)</f>
        <v>0</v>
      </c>
      <c r="I10" s="29" t="s">
        <v>185</v>
      </c>
      <c r="J10" s="35">
        <f>COUNTIF('RAW DATA'!F4:F267,I10)</f>
        <v>30</v>
      </c>
      <c r="K10" s="36">
        <f>IFERROR(COUNTIF('RAW DATA'!F4:F267,I10)/COUNTA('RAW DATA'!F4:F267),0)</f>
        <v>0.11363636363636363</v>
      </c>
      <c r="L10" s="35">
        <f>COUNTIFS('RAW DATA'!F4:F267,I10,'RAW DATA'!C4:C267,"Export")</f>
        <v>6</v>
      </c>
      <c r="M10" s="35">
        <f>COUNTIFS('RAW DATA'!F4:F267,I10,'RAW DATA'!C4:C267,"Import")</f>
        <v>24</v>
      </c>
    </row>
    <row r="11" spans="1:13" ht="15.75" customHeight="1" x14ac:dyDescent="0.25">
      <c r="A11" s="39" t="s">
        <v>198</v>
      </c>
      <c r="B11" s="40" t="s">
        <v>59</v>
      </c>
      <c r="C11" s="41">
        <f>SUMIF('RAW DATA'!D4:D267,A11,'RAW DATA'!H4:H267)</f>
        <v>5458</v>
      </c>
      <c r="D11" s="41">
        <f>IFERROR(AVERAGEIF('RAW DATA'!D4:D267,A11,'RAW DATA'!H4:H267),0)</f>
        <v>303.22222222222223</v>
      </c>
      <c r="E11" s="41">
        <f>IFERROR(MIN(IF('RAW DATA'!D4:D267=A11,'RAW DATA'!H4:H267)),0)</f>
        <v>0</v>
      </c>
      <c r="F11" s="41">
        <f>IFERROR(MAX(IF('RAW DATA'!D4:D267=A11,'RAW DATA'!H4:H267)),0)</f>
        <v>0</v>
      </c>
      <c r="G11" s="41">
        <f>IFERROR(STDEV(IF('RAW DATA'!D4:D267=A11,'RAW DATA'!H4:H267)),0)</f>
        <v>0</v>
      </c>
      <c r="I11" s="24" t="s">
        <v>122</v>
      </c>
      <c r="J11" s="35">
        <f>COUNTIF('RAW DATA'!F4:F267,I11)</f>
        <v>24</v>
      </c>
      <c r="K11" s="36">
        <f>IFERROR(COUNTIF('RAW DATA'!F4:F267,I11)/COUNTA('RAW DATA'!F4:F267),0)</f>
        <v>9.0909090909090912E-2</v>
      </c>
      <c r="L11" s="35">
        <f>COUNTIFS('RAW DATA'!F4:F267,I11,'RAW DATA'!C4:C267,"Export")</f>
        <v>12</v>
      </c>
      <c r="M11" s="35">
        <f>COUNTIFS('RAW DATA'!F4:F267,I11,'RAW DATA'!C4:C267,"Import")</f>
        <v>12</v>
      </c>
    </row>
    <row r="12" spans="1:13" ht="15.75" customHeight="1" x14ac:dyDescent="0.25">
      <c r="A12" s="42" t="s">
        <v>219</v>
      </c>
      <c r="B12" s="43" t="s">
        <v>218</v>
      </c>
      <c r="C12" s="41">
        <f>SUMIF('RAW DATA'!D4:D267,A12,'RAW DATA'!H4:H267)</f>
        <v>71260</v>
      </c>
      <c r="D12" s="41">
        <f>IFERROR(AVERAGEIF('RAW DATA'!D4:D267,A12,'RAW DATA'!H4:H267),0)</f>
        <v>2375.3333333333335</v>
      </c>
      <c r="E12" s="41">
        <f>IFERROR(MIN(IF('RAW DATA'!D4:D267=A12,'RAW DATA'!H4:H267)),0)</f>
        <v>0</v>
      </c>
      <c r="F12" s="41">
        <f>IFERROR(MAX(IF('RAW DATA'!D4:D267=A12,'RAW DATA'!H4:H267)),0)</f>
        <v>0</v>
      </c>
      <c r="G12" s="41">
        <f>IFERROR(STDEV(IF('RAW DATA'!D4:D267=A12,'RAW DATA'!H4:H267)),0)</f>
        <v>0</v>
      </c>
      <c r="I12" s="29" t="s">
        <v>78</v>
      </c>
      <c r="J12" s="35">
        <f>COUNTIF('RAW DATA'!F4:F267,I12)</f>
        <v>12</v>
      </c>
      <c r="K12" s="36">
        <f>IFERROR(COUNTIF('RAW DATA'!F4:F267,I12)/COUNTA('RAW DATA'!F4:F267),0)</f>
        <v>4.5454545454545456E-2</v>
      </c>
      <c r="L12" s="35">
        <f>COUNTIFS('RAW DATA'!F4:F267,I12,'RAW DATA'!C4:C267,"Export")</f>
        <v>12</v>
      </c>
      <c r="M12" s="35">
        <f>COUNTIFS('RAW DATA'!F4:F267,I12,'RAW DATA'!C4:C267,"Import")</f>
        <v>0</v>
      </c>
    </row>
    <row r="13" spans="1:13" ht="15.75" customHeight="1" x14ac:dyDescent="0.25">
      <c r="A13" s="42" t="s">
        <v>252</v>
      </c>
      <c r="B13" s="43" t="s">
        <v>218</v>
      </c>
      <c r="C13" s="41">
        <f>SUMIF('RAW DATA'!D4:D267,A13,'RAW DATA'!H4:H267)</f>
        <v>84900</v>
      </c>
      <c r="D13" s="41">
        <f>IFERROR(AVERAGEIF('RAW DATA'!D4:D267,A13,'RAW DATA'!H4:H267),0)</f>
        <v>2830</v>
      </c>
      <c r="E13" s="41">
        <f>IFERROR(MIN(IF('RAW DATA'!D4:D267=A13,'RAW DATA'!H4:H267)),0)</f>
        <v>0</v>
      </c>
      <c r="F13" s="41">
        <f>IFERROR(MAX(IF('RAW DATA'!D4:D267=A13,'RAW DATA'!H4:H267)),0)</f>
        <v>0</v>
      </c>
      <c r="G13" s="41">
        <f>IFERROR(STDEV(IF('RAW DATA'!D4:D267=A13,'RAW DATA'!H4:H267)),0)</f>
        <v>0</v>
      </c>
      <c r="I13" s="24" t="s">
        <v>93</v>
      </c>
      <c r="J13" s="35">
        <f>COUNTIF('RAW DATA'!F4:F267,I13)</f>
        <v>12</v>
      </c>
      <c r="K13" s="36">
        <f>IFERROR(COUNTIF('RAW DATA'!F4:F267,I13)/COUNTA('RAW DATA'!F4:F267),0)</f>
        <v>4.5454545454545456E-2</v>
      </c>
      <c r="L13" s="35">
        <f>COUNTIFS('RAW DATA'!F4:F267,I13,'RAW DATA'!C4:C267,"Export")</f>
        <v>6</v>
      </c>
      <c r="M13" s="35">
        <f>COUNTIFS('RAW DATA'!F4:F267,I13,'RAW DATA'!C4:C267,"Import")</f>
        <v>6</v>
      </c>
    </row>
    <row r="14" spans="1:13" ht="15.75" customHeight="1" x14ac:dyDescent="0.25">
      <c r="A14" s="42" t="s">
        <v>285</v>
      </c>
      <c r="B14" s="43" t="s">
        <v>218</v>
      </c>
      <c r="C14" s="41">
        <f>SUMIF('RAW DATA'!D4:D267,A14,'RAW DATA'!H4:H267)</f>
        <v>43220</v>
      </c>
      <c r="D14" s="41">
        <f>IFERROR(AVERAGEIF('RAW DATA'!D4:D267,A14,'RAW DATA'!H4:H267),0)</f>
        <v>2401.1111111111113</v>
      </c>
      <c r="E14" s="41">
        <f>IFERROR(MIN(IF('RAW DATA'!D4:D267=A14,'RAW DATA'!H4:H267)),0)</f>
        <v>0</v>
      </c>
      <c r="F14" s="41">
        <f>IFERROR(MAX(IF('RAW DATA'!D4:D267=A14,'RAW DATA'!H4:H267)),0)</f>
        <v>0</v>
      </c>
      <c r="G14" s="41">
        <f>IFERROR(STDEV(IF('RAW DATA'!D4:D267=A14,'RAW DATA'!H4:H267)),0)</f>
        <v>0</v>
      </c>
      <c r="I14" s="29" t="s">
        <v>266</v>
      </c>
      <c r="J14" s="35">
        <f>COUNTIF('RAW DATA'!F4:F267,I14)</f>
        <v>12</v>
      </c>
      <c r="K14" s="36">
        <f>IFERROR(COUNTIF('RAW DATA'!F4:F267,I14)/COUNTA('RAW DATA'!F4:F267),0)</f>
        <v>4.5454545454545456E-2</v>
      </c>
      <c r="L14" s="35">
        <f>COUNTIFS('RAW DATA'!F4:F267,I14,'RAW DATA'!C4:C267,"Export")</f>
        <v>0</v>
      </c>
      <c r="M14" s="35">
        <f>COUNTIFS('RAW DATA'!F4:F267,I14,'RAW DATA'!C4:C267,"Import")</f>
        <v>12</v>
      </c>
    </row>
    <row r="15" spans="1:13" ht="15.75" customHeight="1" x14ac:dyDescent="0.25">
      <c r="A15" s="42" t="s">
        <v>306</v>
      </c>
      <c r="B15" s="43" t="s">
        <v>218</v>
      </c>
      <c r="C15" s="41">
        <f>SUMIF('RAW DATA'!D4:D267,A15,'RAW DATA'!H4:H267)</f>
        <v>35040</v>
      </c>
      <c r="D15" s="41">
        <f>IFERROR(AVERAGEIF('RAW DATA'!D4:D267,A15,'RAW DATA'!H4:H267),0)</f>
        <v>1946.6666666666667</v>
      </c>
      <c r="E15" s="41">
        <f>IFERROR(MIN(IF('RAW DATA'!D4:D267=A15,'RAW DATA'!H4:H267)),0)</f>
        <v>0</v>
      </c>
      <c r="F15" s="41">
        <f>IFERROR(MAX(IF('RAW DATA'!D4:D267=A15,'RAW DATA'!H4:H267)),0)</f>
        <v>0</v>
      </c>
      <c r="G15" s="41">
        <f>IFERROR(STDEV(IF('RAW DATA'!D4:D267=A15,'RAW DATA'!H4:H267)),0)</f>
        <v>0</v>
      </c>
      <c r="I15" s="24" t="s">
        <v>86</v>
      </c>
      <c r="J15" s="35">
        <f>COUNTIF('RAW DATA'!F4:F267,I15)</f>
        <v>6</v>
      </c>
      <c r="K15" s="36">
        <f>IFERROR(COUNTIF('RAW DATA'!F4:F267,I15)/COUNTA('RAW DATA'!F4:F267),0)</f>
        <v>2.2727272727272728E-2</v>
      </c>
      <c r="L15" s="35">
        <f>COUNTIFS('RAW DATA'!F4:F267,I15,'RAW DATA'!C4:C267,"Export")</f>
        <v>6</v>
      </c>
      <c r="M15" s="35">
        <f>COUNTIFS('RAW DATA'!F4:F267,I15,'RAW DATA'!C4:C267,"Import")</f>
        <v>0</v>
      </c>
    </row>
    <row r="16" spans="1:13" ht="15.75" customHeight="1" x14ac:dyDescent="0.25">
      <c r="A16" s="42" t="s">
        <v>326</v>
      </c>
      <c r="B16" s="43" t="s">
        <v>218</v>
      </c>
      <c r="C16" s="41">
        <f>SUMIF('RAW DATA'!D4:D267,A16,'RAW DATA'!H4:H267)</f>
        <v>14170</v>
      </c>
      <c r="D16" s="41">
        <f>IFERROR(AVERAGEIF('RAW DATA'!D4:D267,A16,'RAW DATA'!H4:H267),0)</f>
        <v>787.22222222222217</v>
      </c>
      <c r="E16" s="41">
        <f>IFERROR(MIN(IF('RAW DATA'!D4:D267=A16,'RAW DATA'!H4:H267)),0)</f>
        <v>0</v>
      </c>
      <c r="F16" s="41">
        <f>IFERROR(MAX(IF('RAW DATA'!D4:D267=A16,'RAW DATA'!H4:H267)),0)</f>
        <v>0</v>
      </c>
      <c r="G16" s="41">
        <f>IFERROR(STDEV(IF('RAW DATA'!D4:D267=A16,'RAW DATA'!H4:H267)),0)</f>
        <v>0</v>
      </c>
      <c r="I16" s="29" t="s">
        <v>129</v>
      </c>
      <c r="J16" s="35">
        <f>COUNTIF('RAW DATA'!F4:F267,I16)</f>
        <v>6</v>
      </c>
      <c r="K16" s="36">
        <f>IFERROR(COUNTIF('RAW DATA'!F4:F267,I16)/COUNTA('RAW DATA'!F4:F267),0)</f>
        <v>2.2727272727272728E-2</v>
      </c>
      <c r="L16" s="35">
        <f>COUNTIFS('RAW DATA'!F4:F267,I16,'RAW DATA'!C4:C267,"Export")</f>
        <v>6</v>
      </c>
      <c r="M16" s="35">
        <f>COUNTIFS('RAW DATA'!F4:F267,I16,'RAW DATA'!C4:C267,"Import")</f>
        <v>0</v>
      </c>
    </row>
    <row r="17" spans="1:13" ht="15.75" customHeight="1" x14ac:dyDescent="0.25">
      <c r="A17" s="42" t="s">
        <v>350</v>
      </c>
      <c r="B17" s="43" t="s">
        <v>218</v>
      </c>
      <c r="C17" s="41">
        <f>SUMIF('RAW DATA'!D4:D267,A17,'RAW DATA'!H4:H267)</f>
        <v>24480</v>
      </c>
      <c r="D17" s="41">
        <f>IFERROR(AVERAGEIF('RAW DATA'!D4:D267,A17,'RAW DATA'!H4:H267),0)</f>
        <v>1360</v>
      </c>
      <c r="E17" s="41">
        <f>IFERROR(MIN(IF('RAW DATA'!D4:D267=A17,'RAW DATA'!H4:H267)),0)</f>
        <v>0</v>
      </c>
      <c r="F17" s="41">
        <f>IFERROR(MAX(IF('RAW DATA'!D4:D267=A17,'RAW DATA'!H4:H267)),0)</f>
        <v>0</v>
      </c>
      <c r="G17" s="41">
        <f>IFERROR(STDEV(IF('RAW DATA'!D4:D267=A17,'RAW DATA'!H4:H267)),0)</f>
        <v>0</v>
      </c>
      <c r="I17" s="24" t="s">
        <v>328</v>
      </c>
      <c r="J17" s="35">
        <f>COUNTIF('RAW DATA'!F4:F267,I17)</f>
        <v>6</v>
      </c>
      <c r="K17" s="36">
        <f>IFERROR(COUNTIF('RAW DATA'!F4:F267,I17)/COUNTA('RAW DATA'!F4:F267),0)</f>
        <v>2.2727272727272728E-2</v>
      </c>
      <c r="L17" s="35">
        <f>COUNTIFS('RAW DATA'!F4:F267,I17,'RAW DATA'!C4:C267,"Export")</f>
        <v>0</v>
      </c>
      <c r="M17" s="35">
        <f>COUNTIFS('RAW DATA'!F4:F267,I17,'RAW DATA'!C4:C267,"Import")</f>
        <v>6</v>
      </c>
    </row>
    <row r="18" spans="1:13" ht="15.75" customHeight="1" x14ac:dyDescent="0.25">
      <c r="I18" s="29" t="s">
        <v>336</v>
      </c>
      <c r="J18" s="35">
        <f>COUNTIF('RAW DATA'!F4:F267,I18)</f>
        <v>6</v>
      </c>
      <c r="K18" s="36">
        <f>IFERROR(COUNTIF('RAW DATA'!F4:F267,I18)/COUNTA('RAW DATA'!F4:F267),0)</f>
        <v>2.2727272727272728E-2</v>
      </c>
      <c r="L18" s="35">
        <f>COUNTIFS('RAW DATA'!F4:F267,I18,'RAW DATA'!C4:C267,"Export")</f>
        <v>0</v>
      </c>
      <c r="M18" s="35">
        <f>COUNTIFS('RAW DATA'!F4:F267,I18,'RAW DATA'!C4:C267,"Import")</f>
        <v>6</v>
      </c>
    </row>
    <row r="19" spans="1:13" ht="15.75" customHeight="1" x14ac:dyDescent="0.25">
      <c r="I19" s="24" t="s">
        <v>298</v>
      </c>
      <c r="J19" s="35">
        <f>COUNTIF('RAW DATA'!F4:F267,I19)</f>
        <v>6</v>
      </c>
      <c r="K19" s="36">
        <f>IFERROR(COUNTIF('RAW DATA'!F4:F267,I19)/COUNTA('RAW DATA'!F4:F267),0)</f>
        <v>2.2727272727272728E-2</v>
      </c>
      <c r="L19" s="35">
        <f>COUNTIFS('RAW DATA'!F4:F267,I19,'RAW DATA'!C4:C267,"Export")</f>
        <v>0</v>
      </c>
      <c r="M19" s="35">
        <f>COUNTIFS('RAW DATA'!F4:F267,I19,'RAW DATA'!C4:C267,"Import")</f>
        <v>6</v>
      </c>
    </row>
    <row r="20" spans="1:13" ht="15.75" customHeight="1" x14ac:dyDescent="0.25">
      <c r="A20" s="115" t="s">
        <v>442</v>
      </c>
      <c r="B20" s="115"/>
      <c r="C20" s="115"/>
      <c r="D20" s="115"/>
      <c r="E20" s="115"/>
      <c r="F20" s="115"/>
      <c r="G20" s="115"/>
      <c r="I20" s="29" t="s">
        <v>343</v>
      </c>
      <c r="J20" s="35">
        <f>COUNTIF('RAW DATA'!F4:F267,I20)</f>
        <v>6</v>
      </c>
      <c r="K20" s="36">
        <f>IFERROR(COUNTIF('RAW DATA'!F4:F267,I20)/COUNTA('RAW DATA'!F4:F267),0)</f>
        <v>2.2727272727272728E-2</v>
      </c>
      <c r="L20" s="35">
        <f>COUNTIFS('RAW DATA'!F4:F267,I20,'RAW DATA'!C4:C267,"Export")</f>
        <v>0</v>
      </c>
      <c r="M20" s="35">
        <f>COUNTIFS('RAW DATA'!F4:F267,I20,'RAW DATA'!C4:C267,"Import")</f>
        <v>6</v>
      </c>
    </row>
    <row r="21" spans="1:13" ht="24" x14ac:dyDescent="0.25">
      <c r="A21" s="23" t="s">
        <v>50</v>
      </c>
      <c r="B21" s="23" t="s">
        <v>434</v>
      </c>
      <c r="C21" s="23" t="s">
        <v>443</v>
      </c>
      <c r="D21" s="23" t="s">
        <v>444</v>
      </c>
      <c r="E21" s="23" t="s">
        <v>445</v>
      </c>
      <c r="F21" s="23" t="s">
        <v>446</v>
      </c>
      <c r="G21" s="23" t="s">
        <v>447</v>
      </c>
    </row>
    <row r="22" spans="1:13" ht="15.75" customHeight="1" x14ac:dyDescent="0.25">
      <c r="A22" s="39" t="s">
        <v>60</v>
      </c>
      <c r="B22" s="40" t="s">
        <v>59</v>
      </c>
      <c r="C22" s="41">
        <f>SUMIF('RAW DATA'!D4:D267,A22,'RAW DATA'!I4:I267)</f>
        <v>94752.099999999991</v>
      </c>
      <c r="D22" s="41">
        <f>IFERROR(AVERAGEIF('RAW DATA'!D4:D267,A22,'RAW DATA'!I4:I267),0)</f>
        <v>3158.4033333333332</v>
      </c>
      <c r="E22" s="41">
        <f>IFERROR(MIN(IF('RAW DATA'!D4:D267=A22,'RAW DATA'!I4:I267)),0)</f>
        <v>30</v>
      </c>
      <c r="F22" s="41">
        <f>IFERROR(MAX(IF('RAW DATA'!D4:D267=A22,'RAW DATA'!I4:I267)),0)</f>
        <v>87200</v>
      </c>
      <c r="G22" s="41">
        <f>IFERROR(STDEV(IF('RAW DATA'!D4:D267=A22,'RAW DATA'!I4:I267)),0)</f>
        <v>12704.477304731508</v>
      </c>
    </row>
    <row r="23" spans="1:13" ht="15.75" customHeight="1" x14ac:dyDescent="0.25">
      <c r="A23" s="39" t="s">
        <v>101</v>
      </c>
      <c r="B23" s="40" t="s">
        <v>59</v>
      </c>
      <c r="C23" s="41">
        <f>SUMIF('RAW DATA'!D4:D267,A23,'RAW DATA'!I4:I267)</f>
        <v>1079813.0000000002</v>
      </c>
      <c r="D23" s="41">
        <f>IFERROR(AVERAGEIF('RAW DATA'!D4:D267,A23,'RAW DATA'!I4:I267),0)</f>
        <v>35993.766666666677</v>
      </c>
      <c r="E23" s="41">
        <f>IFERROR(MIN(IF('RAW DATA'!D4:D267=A23,'RAW DATA'!I4:I267)),0)</f>
        <v>0</v>
      </c>
      <c r="F23" s="41">
        <f>IFERROR(MAX(IF('RAW DATA'!D4:D267=A23,'RAW DATA'!I4:I267)),0)</f>
        <v>0</v>
      </c>
      <c r="G23" s="41">
        <f>IFERROR(STDEV(IF('RAW DATA'!D4:D267=A23,'RAW DATA'!I4:I267)),0)</f>
        <v>0</v>
      </c>
    </row>
    <row r="24" spans="1:13" ht="15.75" customHeight="1" x14ac:dyDescent="0.25">
      <c r="A24" s="39" t="s">
        <v>136</v>
      </c>
      <c r="B24" s="40" t="s">
        <v>59</v>
      </c>
      <c r="C24" s="41">
        <f>SUMIF('RAW DATA'!D4:D267,A24,'RAW DATA'!I4:I267)</f>
        <v>4140.8</v>
      </c>
      <c r="D24" s="41">
        <f>IFERROR(AVERAGEIF('RAW DATA'!D4:D267,A24,'RAW DATA'!I4:I267),0)</f>
        <v>230.04444444444445</v>
      </c>
      <c r="E24" s="41">
        <f>IFERROR(MIN(IF('RAW DATA'!D4:D267=A24,'RAW DATA'!I4:I267)),0)</f>
        <v>0</v>
      </c>
      <c r="F24" s="41">
        <f>IFERROR(MAX(IF('RAW DATA'!D4:D267=A24,'RAW DATA'!I4:I267)),0)</f>
        <v>0</v>
      </c>
      <c r="G24" s="41">
        <f>IFERROR(STDEV(IF('RAW DATA'!D4:D267=A24,'RAW DATA'!I4:I267)),0)</f>
        <v>0</v>
      </c>
    </row>
    <row r="25" spans="1:13" ht="15.75" customHeight="1" x14ac:dyDescent="0.25">
      <c r="A25" s="39" t="s">
        <v>156</v>
      </c>
      <c r="B25" s="40" t="s">
        <v>59</v>
      </c>
      <c r="C25" s="41">
        <f>SUMIF('RAW DATA'!D4:D267,A25,'RAW DATA'!I4:I267)</f>
        <v>12672.500000000002</v>
      </c>
      <c r="D25" s="41">
        <f>IFERROR(AVERAGEIF('RAW DATA'!D4:D267,A25,'RAW DATA'!I4:I267),0)</f>
        <v>704.02777777777783</v>
      </c>
      <c r="E25" s="41">
        <f>IFERROR(MIN(IF('RAW DATA'!D4:D267=A25,'RAW DATA'!I4:I267)),0)</f>
        <v>0</v>
      </c>
      <c r="F25" s="41">
        <f>IFERROR(MAX(IF('RAW DATA'!D4:D267=A25,'RAW DATA'!I4:I267)),0)</f>
        <v>0</v>
      </c>
      <c r="G25" s="41">
        <f>IFERROR(STDEV(IF('RAW DATA'!D4:D267=A25,'RAW DATA'!I4:I267)),0)</f>
        <v>0</v>
      </c>
    </row>
    <row r="26" spans="1:13" ht="15.75" customHeight="1" x14ac:dyDescent="0.25">
      <c r="A26" s="39" t="s">
        <v>178</v>
      </c>
      <c r="B26" s="40" t="s">
        <v>59</v>
      </c>
      <c r="C26" s="41">
        <f>SUMIF('RAW DATA'!D4:D267,A26,'RAW DATA'!I4:I267)</f>
        <v>56876</v>
      </c>
      <c r="D26" s="41">
        <f>IFERROR(AVERAGEIF('RAW DATA'!D4:D267,A26,'RAW DATA'!I4:I267),0)</f>
        <v>3159.7777777777778</v>
      </c>
      <c r="E26" s="41">
        <f>IFERROR(MIN(IF('RAW DATA'!D4:D267=A26,'RAW DATA'!I4:I267)),0)</f>
        <v>0</v>
      </c>
      <c r="F26" s="41">
        <f>IFERROR(MAX(IF('RAW DATA'!D4:D267=A26,'RAW DATA'!I4:I267)),0)</f>
        <v>0</v>
      </c>
      <c r="G26" s="41">
        <f>IFERROR(STDEV(IF('RAW DATA'!D4:D267=A26,'RAW DATA'!I4:I267)),0)</f>
        <v>0</v>
      </c>
    </row>
    <row r="27" spans="1:13" ht="15.75" customHeight="1" x14ac:dyDescent="0.25">
      <c r="A27" s="39" t="s">
        <v>198</v>
      </c>
      <c r="B27" s="40" t="s">
        <v>59</v>
      </c>
      <c r="C27" s="41">
        <f>SUMIF('RAW DATA'!D4:D267,A27,'RAW DATA'!I4:I267)</f>
        <v>2493.9</v>
      </c>
      <c r="D27" s="41">
        <f>IFERROR(AVERAGEIF('RAW DATA'!D4:D267,A27,'RAW DATA'!I4:I267),0)</f>
        <v>138.55000000000001</v>
      </c>
      <c r="E27" s="41">
        <f>IFERROR(MIN(IF('RAW DATA'!D4:D267=A27,'RAW DATA'!I4:I267)),0)</f>
        <v>0</v>
      </c>
      <c r="F27" s="41">
        <f>IFERROR(MAX(IF('RAW DATA'!D4:D267=A27,'RAW DATA'!I4:I267)),0)</f>
        <v>0</v>
      </c>
      <c r="G27" s="41">
        <f>IFERROR(STDEV(IF('RAW DATA'!D4:D267=A27,'RAW DATA'!I4:I267)),0)</f>
        <v>0</v>
      </c>
    </row>
    <row r="28" spans="1:13" ht="15.75" customHeight="1" x14ac:dyDescent="0.25">
      <c r="A28" s="42" t="s">
        <v>219</v>
      </c>
      <c r="B28" s="43" t="s">
        <v>218</v>
      </c>
      <c r="C28" s="41">
        <f>SUMIF('RAW DATA'!D4:D267,A28,'RAW DATA'!I4:I267)</f>
        <v>12885.000000000002</v>
      </c>
      <c r="D28" s="41">
        <f>IFERROR(AVERAGEIF('RAW DATA'!D4:D267,A28,'RAW DATA'!I4:I267),0)</f>
        <v>429.50000000000006</v>
      </c>
      <c r="E28" s="41">
        <f>IFERROR(MIN(IF('RAW DATA'!D4:D267=A28,'RAW DATA'!I4:I267)),0)</f>
        <v>0</v>
      </c>
      <c r="F28" s="41">
        <f>IFERROR(MAX(IF('RAW DATA'!D4:D267=A28,'RAW DATA'!I4:I267)),0)</f>
        <v>0</v>
      </c>
      <c r="G28" s="41">
        <f>IFERROR(STDEV(IF('RAW DATA'!D4:D267=A28,'RAW DATA'!I4:I267)),0)</f>
        <v>0</v>
      </c>
    </row>
    <row r="29" spans="1:13" ht="15.75" customHeight="1" x14ac:dyDescent="0.25">
      <c r="A29" s="42" t="s">
        <v>252</v>
      </c>
      <c r="B29" s="43" t="s">
        <v>218</v>
      </c>
      <c r="C29" s="41">
        <f>SUMIF('RAW DATA'!D4:D267,A29,'RAW DATA'!I4:I267)</f>
        <v>24929.300000000007</v>
      </c>
      <c r="D29" s="41">
        <f>IFERROR(AVERAGEIF('RAW DATA'!D4:D267,A29,'RAW DATA'!I4:I267),0)</f>
        <v>830.97666666666692</v>
      </c>
      <c r="E29" s="41">
        <f>IFERROR(MIN(IF('RAW DATA'!D4:D267=A29,'RAW DATA'!I4:I267)),0)</f>
        <v>0</v>
      </c>
      <c r="F29" s="41">
        <f>IFERROR(MAX(IF('RAW DATA'!D4:D267=A29,'RAW DATA'!I4:I267)),0)</f>
        <v>0</v>
      </c>
      <c r="G29" s="41">
        <f>IFERROR(STDEV(IF('RAW DATA'!D4:D267=A29,'RAW DATA'!I4:I267)),0)</f>
        <v>0</v>
      </c>
    </row>
    <row r="30" spans="1:13" ht="15.75" customHeight="1" x14ac:dyDescent="0.25">
      <c r="A30" s="42" t="s">
        <v>285</v>
      </c>
      <c r="B30" s="43" t="s">
        <v>218</v>
      </c>
      <c r="C30" s="41">
        <f>SUMIF('RAW DATA'!D4:D267,A30,'RAW DATA'!I4:I267)</f>
        <v>64701.300000000017</v>
      </c>
      <c r="D30" s="41">
        <f>IFERROR(AVERAGEIF('RAW DATA'!D4:D267,A30,'RAW DATA'!I4:I267),0)</f>
        <v>3594.5166666666678</v>
      </c>
      <c r="E30" s="41">
        <f>IFERROR(MIN(IF('RAW DATA'!D4:D267=A30,'RAW DATA'!I4:I267)),0)</f>
        <v>0</v>
      </c>
      <c r="F30" s="41">
        <f>IFERROR(MAX(IF('RAW DATA'!D4:D267=A30,'RAW DATA'!I4:I267)),0)</f>
        <v>0</v>
      </c>
      <c r="G30" s="41">
        <f>IFERROR(STDEV(IF('RAW DATA'!D4:D267=A30,'RAW DATA'!I4:I267)),0)</f>
        <v>0</v>
      </c>
    </row>
    <row r="31" spans="1:13" ht="15.75" customHeight="1" x14ac:dyDescent="0.25">
      <c r="A31" s="42" t="s">
        <v>306</v>
      </c>
      <c r="B31" s="43" t="s">
        <v>218</v>
      </c>
      <c r="C31" s="41">
        <f>SUMIF('RAW DATA'!D4:D267,A31,'RAW DATA'!I4:I267)</f>
        <v>48952.099999999991</v>
      </c>
      <c r="D31" s="41">
        <f>IFERROR(AVERAGEIF('RAW DATA'!D4:D267,A31,'RAW DATA'!I4:I267),0)</f>
        <v>2719.5611111111107</v>
      </c>
      <c r="E31" s="41">
        <f>IFERROR(MIN(IF('RAW DATA'!D4:D267=A31,'RAW DATA'!I4:I267)),0)</f>
        <v>0</v>
      </c>
      <c r="F31" s="41">
        <f>IFERROR(MAX(IF('RAW DATA'!D4:D267=A31,'RAW DATA'!I4:I267)),0)</f>
        <v>0</v>
      </c>
      <c r="G31" s="41">
        <f>IFERROR(STDEV(IF('RAW DATA'!D4:D267=A31,'RAW DATA'!I4:I267)),0)</f>
        <v>0</v>
      </c>
    </row>
    <row r="32" spans="1:13" ht="15.75" customHeight="1" x14ac:dyDescent="0.25">
      <c r="A32" s="42" t="s">
        <v>326</v>
      </c>
      <c r="B32" s="43" t="s">
        <v>218</v>
      </c>
      <c r="C32" s="41">
        <f>SUMIF('RAW DATA'!D4:D267,A32,'RAW DATA'!I4:I267)</f>
        <v>52360.5</v>
      </c>
      <c r="D32" s="41">
        <f>IFERROR(AVERAGEIF('RAW DATA'!D4:D267,A32,'RAW DATA'!I4:I267),0)</f>
        <v>2908.9166666666665</v>
      </c>
      <c r="E32" s="41">
        <f>IFERROR(MIN(IF('RAW DATA'!D4:D267=A32,'RAW DATA'!I4:I267)),0)</f>
        <v>0</v>
      </c>
      <c r="F32" s="41">
        <f>IFERROR(MAX(IF('RAW DATA'!D4:D267=A32,'RAW DATA'!I4:I267)),0)</f>
        <v>0</v>
      </c>
      <c r="G32" s="41">
        <f>IFERROR(STDEV(IF('RAW DATA'!D4:D267=A32,'RAW DATA'!I4:I267)),0)</f>
        <v>0</v>
      </c>
    </row>
    <row r="33" spans="1:7" ht="15.75" customHeight="1" x14ac:dyDescent="0.25">
      <c r="A33" s="42" t="s">
        <v>350</v>
      </c>
      <c r="B33" s="43" t="s">
        <v>218</v>
      </c>
      <c r="C33" s="41">
        <f>SUMIF('RAW DATA'!D4:D267,A33,'RAW DATA'!I4:I267)</f>
        <v>19595.3</v>
      </c>
      <c r="D33" s="41">
        <f>IFERROR(AVERAGEIF('RAW DATA'!D4:D267,A33,'RAW DATA'!I4:I267),0)</f>
        <v>1088.6277777777777</v>
      </c>
      <c r="E33" s="41">
        <f>IFERROR(MIN(IF('RAW DATA'!D4:D267=A33,'RAW DATA'!I4:I267)),0)</f>
        <v>0</v>
      </c>
      <c r="F33" s="41">
        <f>IFERROR(MAX(IF('RAW DATA'!D4:D267=A33,'RAW DATA'!I4:I267)),0)</f>
        <v>0</v>
      </c>
      <c r="G33" s="41">
        <f>IFERROR(STDEV(IF('RAW DATA'!D4:D267=A33,'RAW DATA'!I4:I267)),0)</f>
        <v>0</v>
      </c>
    </row>
  </sheetData>
  <mergeCells count="5">
    <mergeCell ref="A1:M1"/>
    <mergeCell ref="A2:M2"/>
    <mergeCell ref="A4:G4"/>
    <mergeCell ref="I4:M4"/>
    <mergeCell ref="A20:G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472A"/>
  </sheetPr>
  <dimension ref="A1:P23"/>
  <sheetViews>
    <sheetView showGridLines="0" topLeftCell="A77" zoomScaleNormal="100" workbookViewId="0">
      <selection activeCell="N16" sqref="N16"/>
    </sheetView>
  </sheetViews>
  <sheetFormatPr defaultColWidth="8.7109375" defaultRowHeight="15" x14ac:dyDescent="0.25"/>
  <cols>
    <col min="1" max="1" width="17.5703125" bestFit="1" customWidth="1"/>
    <col min="2" max="3" width="7.42578125" bestFit="1" customWidth="1"/>
    <col min="4" max="4" width="9" bestFit="1" customWidth="1"/>
    <col min="5" max="5" width="8.140625" bestFit="1" customWidth="1"/>
    <col min="6" max="7" width="10.5703125" bestFit="1" customWidth="1"/>
    <col min="8" max="8" width="7.7109375" bestFit="1" customWidth="1"/>
    <col min="9" max="9" width="10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24.140625" bestFit="1" customWidth="1"/>
    <col min="14" max="14" width="8" customWidth="1"/>
    <col min="15" max="15" width="5.5703125" bestFit="1" customWidth="1"/>
    <col min="16" max="16" width="12" customWidth="1"/>
  </cols>
  <sheetData>
    <row r="1" spans="1:16" ht="27.75" customHeight="1" x14ac:dyDescent="0.25">
      <c r="A1" s="117" t="s">
        <v>448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 ht="18" customHeight="1" x14ac:dyDescent="0.25">
      <c r="A2" s="118" t="s">
        <v>449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</row>
    <row r="4" spans="1:16" ht="15" customHeight="1" x14ac:dyDescent="0.25">
      <c r="A4" s="108" t="s">
        <v>450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M4" s="126" t="s">
        <v>451</v>
      </c>
      <c r="N4" s="126"/>
      <c r="O4" s="126"/>
      <c r="P4" s="126"/>
    </row>
    <row r="5" spans="1:16" ht="19.5" customHeight="1" x14ac:dyDescent="0.25">
      <c r="A5" s="44" t="s">
        <v>50</v>
      </c>
      <c r="B5" s="44" t="s">
        <v>61</v>
      </c>
      <c r="C5" s="44" t="s">
        <v>70</v>
      </c>
      <c r="D5" s="44" t="s">
        <v>78</v>
      </c>
      <c r="E5" s="44" t="s">
        <v>115</v>
      </c>
      <c r="F5" s="44" t="s">
        <v>122</v>
      </c>
      <c r="G5" s="44" t="s">
        <v>164</v>
      </c>
      <c r="H5" s="44" t="s">
        <v>86</v>
      </c>
      <c r="I5" s="44" t="s">
        <v>129</v>
      </c>
      <c r="J5" s="44" t="s">
        <v>93</v>
      </c>
      <c r="K5" s="44" t="s">
        <v>185</v>
      </c>
      <c r="L5" s="44" t="s">
        <v>452</v>
      </c>
      <c r="M5" s="73" t="s">
        <v>407</v>
      </c>
      <c r="N5" s="72"/>
      <c r="O5" s="45" t="s">
        <v>453</v>
      </c>
    </row>
    <row r="6" spans="1:16" ht="18" customHeight="1" x14ac:dyDescent="0.25">
      <c r="A6" s="39" t="s">
        <v>60</v>
      </c>
      <c r="B6" s="46">
        <f>SUMIFS('RAW DATA'!H4:H267,'RAW DATA'!D4:D267,A6,'RAW DATA'!F4:F267,B5,'RAW DATA'!C4:C267,"Export")</f>
        <v>33290</v>
      </c>
      <c r="C6" s="46">
        <f>SUMIFS('RAW DATA'!H4:H267,'RAW DATA'!D4:D267,A6,'RAW DATA'!F4:F267,C5,'RAW DATA'!C4:C267,"Export")</f>
        <v>22310</v>
      </c>
      <c r="D6" s="46">
        <f>SUMIFS('RAW DATA'!H4:H267,'RAW DATA'!D4:D267,A6,'RAW DATA'!F4:F267,D5,'RAW DATA'!C4:C267,"Export")</f>
        <v>14320</v>
      </c>
      <c r="E6" s="46">
        <f>SUMIFS('RAW DATA'!H4:H267,'RAW DATA'!D4:D267,A6,'RAW DATA'!F4:F267,E5,'RAW DATA'!C4:C267,"Export")</f>
        <v>0</v>
      </c>
      <c r="F6" s="46">
        <f>SUMIFS('RAW DATA'!H4:H267,'RAW DATA'!D4:D267,A6,'RAW DATA'!F4:F267,F5,'RAW DATA'!C4:C267,"Export")</f>
        <v>0</v>
      </c>
      <c r="G6" s="46">
        <f>SUMIFS('RAW DATA'!H4:H267,'RAW DATA'!D4:D267,A6,'RAW DATA'!F4:F267,G5,'RAW DATA'!C4:C267,"Export")</f>
        <v>0</v>
      </c>
      <c r="H6" s="46">
        <f>SUMIFS('RAW DATA'!H4:H267,'RAW DATA'!D4:D267,A6,'RAW DATA'!F4:F267,H5,'RAW DATA'!C4:C267,"Export")</f>
        <v>12260</v>
      </c>
      <c r="I6" s="46">
        <f>SUMIFS('RAW DATA'!H4:H267,'RAW DATA'!D4:D267,A6,'RAW DATA'!F4:F267,I5,'RAW DATA'!C4:C267,"Export")</f>
        <v>0</v>
      </c>
      <c r="J6" s="46">
        <f>SUMIFS('RAW DATA'!H4:H267,'RAW DATA'!D4:D267,A6,'RAW DATA'!F4:F267,J5,'RAW DATA'!C4:C267,"Export")</f>
        <v>6090</v>
      </c>
      <c r="K6" s="46">
        <f>SUMIFS('RAW DATA'!H4:H267,'RAW DATA'!D4:D267,A6,'RAW DATA'!F4:F267,K5,'RAW DATA'!C4:C267,"Export")</f>
        <v>0</v>
      </c>
      <c r="L6" s="47">
        <f t="shared" ref="L6:L11" si="0">SUM(B6:K6)</f>
        <v>88270</v>
      </c>
      <c r="M6" s="71" t="s">
        <v>454</v>
      </c>
      <c r="N6" s="70"/>
      <c r="O6" s="127">
        <f>IFERROR(SUMIFS('RAW DATA'!H4:H267,'RAW DATA'!F4:F267,"China",'RAW DATA'!C4:C267,"Export")/SUMIFS('RAW DATA'!H4:H267,'RAW DATA'!C4:C267,"Export"),0)</f>
        <v>0.43750230555599473</v>
      </c>
      <c r="P6" s="127"/>
    </row>
    <row r="7" spans="1:16" ht="18" customHeight="1" x14ac:dyDescent="0.25">
      <c r="A7" s="39" t="s">
        <v>101</v>
      </c>
      <c r="B7" s="46">
        <f>SUMIFS('RAW DATA'!H4:H267,'RAW DATA'!D4:D267,A7,'RAW DATA'!F4:F267,B5,'RAW DATA'!C4:C267,"Export")</f>
        <v>33660</v>
      </c>
      <c r="C7" s="46">
        <f>SUMIFS('RAW DATA'!H4:H267,'RAW DATA'!D4:D267,A7,'RAW DATA'!F4:F267,C5,'RAW DATA'!C4:C267,"Export")</f>
        <v>51930</v>
      </c>
      <c r="D7" s="46">
        <f>SUMIFS('RAW DATA'!H4:H267,'RAW DATA'!D4:D267,A7,'RAW DATA'!F4:F267,D5,'RAW DATA'!C4:C267,"Export")</f>
        <v>0</v>
      </c>
      <c r="E7" s="46">
        <f>SUMIFS('RAW DATA'!H4:H267,'RAW DATA'!D4:D267,A7,'RAW DATA'!F4:F267,E5,'RAW DATA'!C4:C267,"Export")</f>
        <v>29830</v>
      </c>
      <c r="F7" s="46">
        <f>SUMIFS('RAW DATA'!H4:H267,'RAW DATA'!D4:D267,A7,'RAW DATA'!F4:F267,F5,'RAW DATA'!C4:C267,"Export")</f>
        <v>23390</v>
      </c>
      <c r="G7" s="46">
        <f>SUMIFS('RAW DATA'!H4:H267,'RAW DATA'!D4:D267,A7,'RAW DATA'!F4:F267,G5,'RAW DATA'!C4:C267,"Export")</f>
        <v>0</v>
      </c>
      <c r="H7" s="46">
        <f>SUMIFS('RAW DATA'!H4:H267,'RAW DATA'!D4:D267,A7,'RAW DATA'!F4:F267,H5,'RAW DATA'!C4:C267,"Export")</f>
        <v>0</v>
      </c>
      <c r="I7" s="46">
        <f>SUMIFS('RAW DATA'!H4:H267,'RAW DATA'!D4:D267,A7,'RAW DATA'!F4:F267,I5,'RAW DATA'!C4:C267,"Export")</f>
        <v>9800</v>
      </c>
      <c r="J7" s="46">
        <f>SUMIFS('RAW DATA'!H4:H267,'RAW DATA'!D4:D267,A7,'RAW DATA'!F4:F267,J5,'RAW DATA'!C4:C267,"Export")</f>
        <v>0</v>
      </c>
      <c r="K7" s="46">
        <f>SUMIFS('RAW DATA'!H4:H267,'RAW DATA'!D4:D267,A7,'RAW DATA'!F4:F267,K5,'RAW DATA'!C4:C267,"Export")</f>
        <v>0</v>
      </c>
      <c r="L7" s="47">
        <f t="shared" si="0"/>
        <v>148610</v>
      </c>
      <c r="M7" s="67" t="s">
        <v>455</v>
      </c>
      <c r="N7" s="68"/>
      <c r="O7" s="127">
        <f>IFERROR(SUMIFS('RAW DATA'!H4:H267,'RAW DATA'!F4:F267,"China",'RAW DATA'!C4:C267,"Import")/SUMIFS('RAW DATA'!H4:H267,'RAW DATA'!C4:C267,"Import"),0)</f>
        <v>0.37301790749624636</v>
      </c>
      <c r="P7" s="127"/>
    </row>
    <row r="8" spans="1:16" ht="18" customHeight="1" x14ac:dyDescent="0.25">
      <c r="A8" s="39" t="s">
        <v>136</v>
      </c>
      <c r="B8" s="46">
        <f>SUMIFS('RAW DATA'!H4:H267,'RAW DATA'!D4:D267,A8,'RAW DATA'!F4:F267,B5,'RAW DATA'!C4:C267,"Export")</f>
        <v>0</v>
      </c>
      <c r="C8" s="46">
        <f>SUMIFS('RAW DATA'!H4:H267,'RAW DATA'!D4:D267,A8,'RAW DATA'!F4:F267,C5,'RAW DATA'!C4:C267,"Export")</f>
        <v>62580</v>
      </c>
      <c r="D8" s="46">
        <f>SUMIFS('RAW DATA'!H4:H267,'RAW DATA'!D4:D267,A8,'RAW DATA'!F4:F267,D5,'RAW DATA'!C4:C267,"Export")</f>
        <v>0</v>
      </c>
      <c r="E8" s="46">
        <f>SUMIFS('RAW DATA'!H4:H267,'RAW DATA'!D4:D267,A8,'RAW DATA'!F4:F267,E5,'RAW DATA'!C4:C267,"Export")</f>
        <v>9600</v>
      </c>
      <c r="F8" s="46">
        <f>SUMIFS('RAW DATA'!H4:H267,'RAW DATA'!D4:D267,A8,'RAW DATA'!F4:F267,F5,'RAW DATA'!C4:C267,"Export")</f>
        <v>6950</v>
      </c>
      <c r="G8" s="46">
        <f>SUMIFS('RAW DATA'!H4:H267,'RAW DATA'!D4:D267,A8,'RAW DATA'!F4:F267,G5,'RAW DATA'!C4:C267,"Export")</f>
        <v>0</v>
      </c>
      <c r="H8" s="46">
        <f>SUMIFS('RAW DATA'!H4:H267,'RAW DATA'!D4:D267,A8,'RAW DATA'!F4:F267,H5,'RAW DATA'!C4:C267,"Export")</f>
        <v>0</v>
      </c>
      <c r="I8" s="46">
        <f>SUMIFS('RAW DATA'!H4:H267,'RAW DATA'!D4:D267,A8,'RAW DATA'!F4:F267,I5,'RAW DATA'!C4:C267,"Export")</f>
        <v>0</v>
      </c>
      <c r="J8" s="46">
        <f>SUMIFS('RAW DATA'!H4:H267,'RAW DATA'!D4:D267,A8,'RAW DATA'!F4:F267,J5,'RAW DATA'!C4:C267,"Export")</f>
        <v>0</v>
      </c>
      <c r="K8" s="46">
        <f>SUMIFS('RAW DATA'!H4:H267,'RAW DATA'!D4:D267,A8,'RAW DATA'!F4:F267,K5,'RAW DATA'!C4:C267,"Export")</f>
        <v>0</v>
      </c>
      <c r="L8" s="47">
        <f t="shared" si="0"/>
        <v>79130</v>
      </c>
      <c r="M8" s="69" t="s">
        <v>456</v>
      </c>
      <c r="N8" s="70"/>
      <c r="O8" s="128">
        <f>SUMIFS('RAW DATA'!H4:H267,'RAW DATA'!F4:F267,"China",'RAW DATA'!C4:C267,"Export")</f>
        <v>166040</v>
      </c>
      <c r="P8" s="128"/>
    </row>
    <row r="9" spans="1:16" ht="18" customHeight="1" x14ac:dyDescent="0.25">
      <c r="A9" s="39" t="s">
        <v>156</v>
      </c>
      <c r="B9" s="46">
        <f>SUMIFS('RAW DATA'!H4:H267,'RAW DATA'!D4:D267,A9,'RAW DATA'!F4:F267,B5,'RAW DATA'!C4:C267,"Export")</f>
        <v>0</v>
      </c>
      <c r="C9" s="46">
        <f>SUMIFS('RAW DATA'!H4:H267,'RAW DATA'!D4:D267,A9,'RAW DATA'!F4:F267,C5,'RAW DATA'!C4:C267,"Export")</f>
        <v>10760</v>
      </c>
      <c r="D9" s="46">
        <f>SUMIFS('RAW DATA'!H4:H267,'RAW DATA'!D4:D267,A9,'RAW DATA'!F4:F267,D5,'RAW DATA'!C4:C267,"Export")</f>
        <v>0</v>
      </c>
      <c r="E9" s="46">
        <f>SUMIFS('RAW DATA'!H4:H267,'RAW DATA'!D4:D267,A9,'RAW DATA'!F4:F267,E5,'RAW DATA'!C4:C267,"Export")</f>
        <v>4200</v>
      </c>
      <c r="F9" s="46">
        <f>SUMIFS('RAW DATA'!H4:H267,'RAW DATA'!D4:D267,A9,'RAW DATA'!F4:F267,F5,'RAW DATA'!C4:C267,"Export")</f>
        <v>0</v>
      </c>
      <c r="G9" s="46">
        <f>SUMIFS('RAW DATA'!H4:H267,'RAW DATA'!D4:D267,A9,'RAW DATA'!F4:F267,G5,'RAW DATA'!C4:C267,"Export")</f>
        <v>5370</v>
      </c>
      <c r="H9" s="46">
        <f>SUMIFS('RAW DATA'!H4:H267,'RAW DATA'!D4:D267,A9,'RAW DATA'!F4:F267,H5,'RAW DATA'!C4:C267,"Export")</f>
        <v>0</v>
      </c>
      <c r="I9" s="46">
        <f>SUMIFS('RAW DATA'!H4:H267,'RAW DATA'!D4:D267,A9,'RAW DATA'!F4:F267,I5,'RAW DATA'!C4:C267,"Export")</f>
        <v>0</v>
      </c>
      <c r="J9" s="46">
        <f>SUMIFS('RAW DATA'!H4:H267,'RAW DATA'!D4:D267,A9,'RAW DATA'!F4:F267,J5,'RAW DATA'!C4:C267,"Export")</f>
        <v>0</v>
      </c>
      <c r="K9" s="46">
        <f>SUMIFS('RAW DATA'!H4:H267,'RAW DATA'!D4:D267,A9,'RAW DATA'!F4:F267,K5,'RAW DATA'!C4:C267,"Export")</f>
        <v>0</v>
      </c>
      <c r="L9" s="47">
        <f t="shared" si="0"/>
        <v>20330</v>
      </c>
      <c r="M9" s="67" t="s">
        <v>457</v>
      </c>
      <c r="N9" s="68"/>
      <c r="O9" s="128">
        <f>SUMIFS('RAW DATA'!H4:H267,'RAW DATA'!F4:F267,"China",'RAW DATA'!C4:C267,"Import")</f>
        <v>101860</v>
      </c>
      <c r="P9" s="128"/>
    </row>
    <row r="10" spans="1:16" ht="18" customHeight="1" x14ac:dyDescent="0.25">
      <c r="A10" s="39" t="s">
        <v>178</v>
      </c>
      <c r="B10" s="46">
        <f>SUMIFS('RAW DATA'!H4:H267,'RAW DATA'!D4:D267,A10,'RAW DATA'!F4:F267,B5,'RAW DATA'!C4:C267,"Export")</f>
        <v>0</v>
      </c>
      <c r="C10" s="46">
        <f>SUMIFS('RAW DATA'!H4:H267,'RAW DATA'!D4:D267,A10,'RAW DATA'!F4:F267,C5,'RAW DATA'!C4:C267,"Export")</f>
        <v>18460</v>
      </c>
      <c r="D10" s="46">
        <f>SUMIFS('RAW DATA'!H4:H267,'RAW DATA'!D4:D267,A10,'RAW DATA'!F4:F267,D5,'RAW DATA'!C4:C267,"Export")</f>
        <v>0</v>
      </c>
      <c r="E10" s="46">
        <f>SUMIFS('RAW DATA'!H4:H267,'RAW DATA'!D4:D267,A10,'RAW DATA'!F4:F267,E5,'RAW DATA'!C4:C267,"Export")</f>
        <v>8740</v>
      </c>
      <c r="F10" s="46">
        <f>SUMIFS('RAW DATA'!H4:H267,'RAW DATA'!D4:D267,A10,'RAW DATA'!F4:F267,F5,'RAW DATA'!C4:C267,"Export")</f>
        <v>0</v>
      </c>
      <c r="G10" s="46">
        <f>SUMIFS('RAW DATA'!H4:H267,'RAW DATA'!D4:D267,A10,'RAW DATA'!F4:F267,G5,'RAW DATA'!C4:C267,"Export")</f>
        <v>0</v>
      </c>
      <c r="H10" s="46">
        <f>SUMIFS('RAW DATA'!H4:H267,'RAW DATA'!D4:D267,A10,'RAW DATA'!F4:F267,H5,'RAW DATA'!C4:C267,"Export")</f>
        <v>0</v>
      </c>
      <c r="I10" s="46">
        <f>SUMIFS('RAW DATA'!H4:H267,'RAW DATA'!D4:D267,A10,'RAW DATA'!F4:F267,I5,'RAW DATA'!C4:C267,"Export")</f>
        <v>0</v>
      </c>
      <c r="J10" s="46">
        <f>SUMIFS('RAW DATA'!H4:H267,'RAW DATA'!D4:D267,A10,'RAW DATA'!F4:F267,J5,'RAW DATA'!C4:C267,"Export")</f>
        <v>0</v>
      </c>
      <c r="K10" s="46">
        <f>SUMIFS('RAW DATA'!H4:H267,'RAW DATA'!D4:D267,A10,'RAW DATA'!F4:F267,K5,'RAW DATA'!C4:C267,"Export")</f>
        <v>10520</v>
      </c>
      <c r="L10" s="47">
        <f t="shared" si="0"/>
        <v>37720</v>
      </c>
      <c r="M10" s="69" t="s">
        <v>458</v>
      </c>
      <c r="N10" s="70"/>
      <c r="O10" s="128">
        <f>SUMIFS('RAW DATA'!H4:H267,'RAW DATA'!F4:F267,"China",'RAW DATA'!C4:C267,"Export")-SUMIFS('RAW DATA'!H4:H267,'RAW DATA'!F4:F267,"China",'RAW DATA'!C4:C267,"Import")</f>
        <v>64180</v>
      </c>
      <c r="P10" s="128"/>
    </row>
    <row r="11" spans="1:16" ht="18" customHeight="1" x14ac:dyDescent="0.25">
      <c r="A11" s="39" t="s">
        <v>198</v>
      </c>
      <c r="B11" s="46">
        <f>SUMIFS('RAW DATA'!H4:H267,'RAW DATA'!D4:D267,A11,'RAW DATA'!F4:F267,B5,'RAW DATA'!C4:C267,"Export")</f>
        <v>0</v>
      </c>
      <c r="C11" s="46">
        <f>SUMIFS('RAW DATA'!H4:H267,'RAW DATA'!D4:D267,A11,'RAW DATA'!F4:F267,C5,'RAW DATA'!C4:C267,"Export")</f>
        <v>0</v>
      </c>
      <c r="D11" s="46">
        <f>SUMIFS('RAW DATA'!H4:H267,'RAW DATA'!D4:D267,A11,'RAW DATA'!F4:F267,D5,'RAW DATA'!C4:C267,"Export")</f>
        <v>2036</v>
      </c>
      <c r="E11" s="46">
        <f>SUMIFS('RAW DATA'!H4:H267,'RAW DATA'!D4:D267,A11,'RAW DATA'!F4:F267,E5,'RAW DATA'!C4:C267,"Export")</f>
        <v>884</v>
      </c>
      <c r="F11" s="46">
        <f>SUMIFS('RAW DATA'!H4:H267,'RAW DATA'!D4:D267,A11,'RAW DATA'!F4:F267,F5,'RAW DATA'!C4:C267,"Export")</f>
        <v>0</v>
      </c>
      <c r="G11" s="46">
        <f>SUMIFS('RAW DATA'!H4:H267,'RAW DATA'!D4:D267,A11,'RAW DATA'!F4:F267,G5,'RAW DATA'!C4:C267,"Export")</f>
        <v>2538</v>
      </c>
      <c r="H11" s="46">
        <f>SUMIFS('RAW DATA'!H4:H267,'RAW DATA'!D4:D267,A11,'RAW DATA'!F4:F267,H5,'RAW DATA'!C4:C267,"Export")</f>
        <v>0</v>
      </c>
      <c r="I11" s="46">
        <f>SUMIFS('RAW DATA'!H4:H267,'RAW DATA'!D4:D267,A11,'RAW DATA'!F4:F267,I5,'RAW DATA'!C4:C267,"Export")</f>
        <v>0</v>
      </c>
      <c r="J11" s="46">
        <f>SUMIFS('RAW DATA'!H4:H267,'RAW DATA'!D4:D267,A11,'RAW DATA'!F4:F267,J5,'RAW DATA'!C4:C267,"Export")</f>
        <v>0</v>
      </c>
      <c r="K11" s="46">
        <f>SUMIFS('RAW DATA'!H4:H267,'RAW DATA'!D4:D267,A11,'RAW DATA'!F4:F267,K5,'RAW DATA'!C4:C267,"Export")</f>
        <v>0</v>
      </c>
      <c r="L11" s="47">
        <f t="shared" si="0"/>
        <v>5458</v>
      </c>
      <c r="M11" s="67" t="s">
        <v>459</v>
      </c>
      <c r="N11" s="68"/>
      <c r="O11" s="64"/>
      <c r="P11" s="64" t="s">
        <v>460</v>
      </c>
    </row>
    <row r="12" spans="1:16" ht="18" customHeight="1" x14ac:dyDescent="0.25">
      <c r="A12" s="48" t="s">
        <v>461</v>
      </c>
      <c r="B12" s="49">
        <f t="shared" ref="B12:L12" si="1">SUM(B6:B11)</f>
        <v>66950</v>
      </c>
      <c r="C12" s="49">
        <f t="shared" si="1"/>
        <v>166040</v>
      </c>
      <c r="D12" s="49">
        <f t="shared" si="1"/>
        <v>16356</v>
      </c>
      <c r="E12" s="49">
        <f t="shared" si="1"/>
        <v>53254</v>
      </c>
      <c r="F12" s="49">
        <f t="shared" si="1"/>
        <v>30340</v>
      </c>
      <c r="G12" s="49">
        <f t="shared" si="1"/>
        <v>7908</v>
      </c>
      <c r="H12" s="49">
        <f t="shared" si="1"/>
        <v>12260</v>
      </c>
      <c r="I12" s="49">
        <f t="shared" si="1"/>
        <v>9800</v>
      </c>
      <c r="J12" s="49">
        <f t="shared" si="1"/>
        <v>6090</v>
      </c>
      <c r="K12" s="49">
        <f t="shared" si="1"/>
        <v>10520</v>
      </c>
      <c r="L12" s="49">
        <f t="shared" si="1"/>
        <v>379518</v>
      </c>
      <c r="M12" s="69" t="s">
        <v>462</v>
      </c>
      <c r="N12" s="70"/>
      <c r="O12" s="65" t="s">
        <v>463</v>
      </c>
      <c r="P12" s="66"/>
    </row>
    <row r="15" spans="1:16" ht="15" customHeight="1" x14ac:dyDescent="0.25">
      <c r="A15" s="106" t="s">
        <v>464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6" ht="19.5" customHeight="1" x14ac:dyDescent="0.25">
      <c r="A16" s="50" t="s">
        <v>50</v>
      </c>
      <c r="B16" s="50" t="s">
        <v>70</v>
      </c>
      <c r="C16" s="50" t="s">
        <v>115</v>
      </c>
      <c r="D16" s="50" t="s">
        <v>185</v>
      </c>
      <c r="E16" s="50" t="s">
        <v>266</v>
      </c>
      <c r="F16" s="50" t="s">
        <v>164</v>
      </c>
      <c r="G16" s="50" t="s">
        <v>122</v>
      </c>
      <c r="H16" s="50" t="s">
        <v>93</v>
      </c>
      <c r="I16" s="50" t="s">
        <v>298</v>
      </c>
      <c r="J16" s="50" t="s">
        <v>328</v>
      </c>
      <c r="K16" s="50" t="s">
        <v>336</v>
      </c>
      <c r="L16" s="50" t="s">
        <v>452</v>
      </c>
    </row>
    <row r="17" spans="1:12" ht="15.75" customHeight="1" x14ac:dyDescent="0.25">
      <c r="A17" s="42" t="s">
        <v>219</v>
      </c>
      <c r="B17" s="51">
        <f>SUMIFS('RAW DATA'!H4:H267,'RAW DATA'!D4:D267,A17,'RAW DATA'!F4:F267,B16,'RAW DATA'!C4:C267,"Import")</f>
        <v>32140</v>
      </c>
      <c r="C17" s="51">
        <f>SUMIFS('RAW DATA'!H4:H267,'RAW DATA'!D4:D267,A17,'RAW DATA'!F4:F267,C16,'RAW DATA'!C4:C267,"Import")</f>
        <v>9340</v>
      </c>
      <c r="D17" s="51">
        <f>SUMIFS('RAW DATA'!H4:H267,'RAW DATA'!D4:D267,A17,'RAW DATA'!F4:F267,D16,'RAW DATA'!C4:C267,"Import")</f>
        <v>12940</v>
      </c>
      <c r="E17" s="51">
        <f>SUMIFS('RAW DATA'!H4:H267,'RAW DATA'!D4:D267,A17,'RAW DATA'!F4:F267,E16,'RAW DATA'!C4:C267,"Import")</f>
        <v>0</v>
      </c>
      <c r="F17" s="51">
        <f>SUMIFS('RAW DATA'!H4:H267,'RAW DATA'!D4:D267,A17,'RAW DATA'!F4:F267,F16,'RAW DATA'!C4:C267,"Import")</f>
        <v>6100</v>
      </c>
      <c r="G17" s="51">
        <f>SUMIFS('RAW DATA'!H4:H267,'RAW DATA'!D4:D267,A17,'RAW DATA'!F4:F267,G16,'RAW DATA'!C4:C267,"Import")</f>
        <v>10740</v>
      </c>
      <c r="H17" s="51">
        <f>SUMIFS('RAW DATA'!H4:H267,'RAW DATA'!D4:D267,A17,'RAW DATA'!F4:F267,H16,'RAW DATA'!C4:C267,"Import")</f>
        <v>0</v>
      </c>
      <c r="I17" s="51">
        <f>SUMIFS('RAW DATA'!H4:H267,'RAW DATA'!D4:D267,A17,'RAW DATA'!F4:F267,I16,'RAW DATA'!C4:C267,"Import")</f>
        <v>0</v>
      </c>
      <c r="J17" s="51">
        <f>SUMIFS('RAW DATA'!H4:H267,'RAW DATA'!D4:D267,A17,'RAW DATA'!F4:F267,J16,'RAW DATA'!C4:C267,"Import")</f>
        <v>0</v>
      </c>
      <c r="K17" s="51">
        <f>SUMIFS('RAW DATA'!H4:H267,'RAW DATA'!D4:D267,A17,'RAW DATA'!F4:F267,K16,'RAW DATA'!C4:C267,"Import")</f>
        <v>0</v>
      </c>
      <c r="L17" s="52">
        <f t="shared" ref="L17:L22" si="2">SUM(B17:K17)</f>
        <v>71260</v>
      </c>
    </row>
    <row r="18" spans="1:12" ht="15.75" customHeight="1" x14ac:dyDescent="0.25">
      <c r="A18" s="42" t="s">
        <v>252</v>
      </c>
      <c r="B18" s="51">
        <f>SUMIFS('RAW DATA'!H4:H267,'RAW DATA'!D4:D267,A18,'RAW DATA'!F4:F267,B16,'RAW DATA'!C4:C267,"Import")</f>
        <v>36740</v>
      </c>
      <c r="C18" s="51">
        <f>SUMIFS('RAW DATA'!H4:H267,'RAW DATA'!D4:D267,A18,'RAW DATA'!F4:F267,C16,'RAW DATA'!C4:C267,"Import")</f>
        <v>18540</v>
      </c>
      <c r="D18" s="51">
        <f>SUMIFS('RAW DATA'!H4:H267,'RAW DATA'!D4:D267,A18,'RAW DATA'!F4:F267,D16,'RAW DATA'!C4:C267,"Import")</f>
        <v>7540</v>
      </c>
      <c r="E18" s="51">
        <f>SUMIFS('RAW DATA'!H4:H267,'RAW DATA'!D4:D267,A18,'RAW DATA'!F4:F267,E16,'RAW DATA'!C4:C267,"Import")</f>
        <v>12040</v>
      </c>
      <c r="F18" s="51">
        <f>SUMIFS('RAW DATA'!H4:H267,'RAW DATA'!D4:D267,A18,'RAW DATA'!F4:F267,F16,'RAW DATA'!C4:C267,"Import")</f>
        <v>10040</v>
      </c>
      <c r="G18" s="51">
        <f>SUMIFS('RAW DATA'!H4:H267,'RAW DATA'!D4:D267,A18,'RAW DATA'!F4:F267,G16,'RAW DATA'!C4:C267,"Import")</f>
        <v>0</v>
      </c>
      <c r="H18" s="51">
        <f>SUMIFS('RAW DATA'!H4:H267,'RAW DATA'!D4:D267,A18,'RAW DATA'!F4:F267,H16,'RAW DATA'!C4:C267,"Import")</f>
        <v>0</v>
      </c>
      <c r="I18" s="51">
        <f>SUMIFS('RAW DATA'!H4:H267,'RAW DATA'!D4:D267,A18,'RAW DATA'!F4:F267,I16,'RAW DATA'!C4:C267,"Import")</f>
        <v>0</v>
      </c>
      <c r="J18" s="51">
        <f>SUMIFS('RAW DATA'!H4:H267,'RAW DATA'!D4:D267,A18,'RAW DATA'!F4:F267,J16,'RAW DATA'!C4:C267,"Import")</f>
        <v>0</v>
      </c>
      <c r="K18" s="51">
        <f>SUMIFS('RAW DATA'!H4:H267,'RAW DATA'!D4:D267,A18,'RAW DATA'!F4:F267,K16,'RAW DATA'!C4:C267,"Import")</f>
        <v>0</v>
      </c>
      <c r="L18" s="52">
        <f t="shared" si="2"/>
        <v>84900</v>
      </c>
    </row>
    <row r="19" spans="1:12" ht="15.75" customHeight="1" x14ac:dyDescent="0.25">
      <c r="A19" s="42" t="s">
        <v>285</v>
      </c>
      <c r="B19" s="51">
        <f>SUMIFS('RAW DATA'!H4:H267,'RAW DATA'!D4:D267,A19,'RAW DATA'!F4:F267,B16,'RAW DATA'!C4:C267,"Import")</f>
        <v>0</v>
      </c>
      <c r="C19" s="51">
        <f>SUMIFS('RAW DATA'!H4:H267,'RAW DATA'!D4:D267,A19,'RAW DATA'!F4:F267,C16,'RAW DATA'!C4:C267,"Import")</f>
        <v>0</v>
      </c>
      <c r="D19" s="51">
        <f>SUMIFS('RAW DATA'!H4:H267,'RAW DATA'!D4:D267,A19,'RAW DATA'!F4:F267,D16,'RAW DATA'!C4:C267,"Import")</f>
        <v>22640</v>
      </c>
      <c r="E19" s="51">
        <f>SUMIFS('RAW DATA'!H4:H267,'RAW DATA'!D4:D267,A19,'RAW DATA'!F4:F267,E16,'RAW DATA'!C4:C267,"Import")</f>
        <v>0</v>
      </c>
      <c r="F19" s="51">
        <f>SUMIFS('RAW DATA'!H4:H267,'RAW DATA'!D4:D267,A19,'RAW DATA'!F4:F267,F16,'RAW DATA'!C4:C267,"Import")</f>
        <v>0</v>
      </c>
      <c r="G19" s="51">
        <f>SUMIFS('RAW DATA'!H4:H267,'RAW DATA'!D4:D267,A19,'RAW DATA'!F4:F267,G16,'RAW DATA'!C4:C267,"Import")</f>
        <v>0</v>
      </c>
      <c r="H19" s="51">
        <f>SUMIFS('RAW DATA'!H4:H267,'RAW DATA'!D4:D267,A19,'RAW DATA'!F4:F267,H16,'RAW DATA'!C4:C267,"Import")</f>
        <v>11640</v>
      </c>
      <c r="I19" s="51">
        <f>SUMIFS('RAW DATA'!H4:H267,'RAW DATA'!D4:D267,A19,'RAW DATA'!F4:F267,I16,'RAW DATA'!C4:C267,"Import")</f>
        <v>8940</v>
      </c>
      <c r="J19" s="51">
        <f>SUMIFS('RAW DATA'!H4:H267,'RAW DATA'!D4:D267,A19,'RAW DATA'!F4:F267,J16,'RAW DATA'!C4:C267,"Import")</f>
        <v>0</v>
      </c>
      <c r="K19" s="51">
        <f>SUMIFS('RAW DATA'!H4:H267,'RAW DATA'!D4:D267,A19,'RAW DATA'!F4:F267,K16,'RAW DATA'!C4:C267,"Import")</f>
        <v>0</v>
      </c>
      <c r="L19" s="52">
        <f t="shared" si="2"/>
        <v>43220</v>
      </c>
    </row>
    <row r="20" spans="1:12" ht="15.75" customHeight="1" x14ac:dyDescent="0.25">
      <c r="A20" s="42" t="s">
        <v>306</v>
      </c>
      <c r="B20" s="51">
        <f>SUMIFS('RAW DATA'!H4:H267,'RAW DATA'!D4:D267,A20,'RAW DATA'!F4:F267,B16,'RAW DATA'!C4:C267,"Import")</f>
        <v>20640</v>
      </c>
      <c r="C20" s="51">
        <f>SUMIFS('RAW DATA'!H4:H267,'RAW DATA'!D4:D267,A20,'RAW DATA'!F4:F267,C16,'RAW DATA'!C4:C267,"Import")</f>
        <v>7880</v>
      </c>
      <c r="D20" s="51">
        <f>SUMIFS('RAW DATA'!H4:H267,'RAW DATA'!D4:D267,A20,'RAW DATA'!F4:F267,D16,'RAW DATA'!C4:C267,"Import")</f>
        <v>0</v>
      </c>
      <c r="E20" s="51">
        <f>SUMIFS('RAW DATA'!H4:H267,'RAW DATA'!D4:D267,A20,'RAW DATA'!F4:F267,E16,'RAW DATA'!C4:C267,"Import")</f>
        <v>0</v>
      </c>
      <c r="F20" s="51">
        <f>SUMIFS('RAW DATA'!H4:H267,'RAW DATA'!D4:D267,A20,'RAW DATA'!F4:F267,F16,'RAW DATA'!C4:C267,"Import")</f>
        <v>0</v>
      </c>
      <c r="G20" s="51">
        <f>SUMIFS('RAW DATA'!H4:H267,'RAW DATA'!D4:D267,A20,'RAW DATA'!F4:F267,G16,'RAW DATA'!C4:C267,"Import")</f>
        <v>6520</v>
      </c>
      <c r="H20" s="51">
        <f>SUMIFS('RAW DATA'!H4:H267,'RAW DATA'!D4:D267,A20,'RAW DATA'!F4:F267,H16,'RAW DATA'!C4:C267,"Import")</f>
        <v>0</v>
      </c>
      <c r="I20" s="51">
        <f>SUMIFS('RAW DATA'!H4:H267,'RAW DATA'!D4:D267,A20,'RAW DATA'!F4:F267,I16,'RAW DATA'!C4:C267,"Import")</f>
        <v>0</v>
      </c>
      <c r="J20" s="51">
        <f>SUMIFS('RAW DATA'!H4:H267,'RAW DATA'!D4:D267,A20,'RAW DATA'!F4:F267,J16,'RAW DATA'!C4:C267,"Import")</f>
        <v>0</v>
      </c>
      <c r="K20" s="51">
        <f>SUMIFS('RAW DATA'!H4:H267,'RAW DATA'!D4:D267,A20,'RAW DATA'!F4:F267,K16,'RAW DATA'!C4:C267,"Import")</f>
        <v>0</v>
      </c>
      <c r="L20" s="52">
        <f t="shared" si="2"/>
        <v>35040</v>
      </c>
    </row>
    <row r="21" spans="1:12" ht="15.75" customHeight="1" x14ac:dyDescent="0.25">
      <c r="A21" s="42" t="s">
        <v>326</v>
      </c>
      <c r="B21" s="51">
        <f>SUMIFS('RAW DATA'!H4:H267,'RAW DATA'!D4:D267,A21,'RAW DATA'!F4:F267,B16,'RAW DATA'!C4:C267,"Import")</f>
        <v>0</v>
      </c>
      <c r="C21" s="51">
        <f>SUMIFS('RAW DATA'!H4:H267,'RAW DATA'!D4:D267,A21,'RAW DATA'!F4:F267,C16,'RAW DATA'!C4:C267,"Import")</f>
        <v>0</v>
      </c>
      <c r="D21" s="51">
        <f>SUMIFS('RAW DATA'!H4:H267,'RAW DATA'!D4:D267,A21,'RAW DATA'!F4:F267,D16,'RAW DATA'!C4:C267,"Import")</f>
        <v>0</v>
      </c>
      <c r="E21" s="51">
        <f>SUMIFS('RAW DATA'!H4:H267,'RAW DATA'!D4:D267,A21,'RAW DATA'!F4:F267,E16,'RAW DATA'!C4:C267,"Import")</f>
        <v>0</v>
      </c>
      <c r="F21" s="51">
        <f>SUMIFS('RAW DATA'!H4:H267,'RAW DATA'!D4:D267,A21,'RAW DATA'!F4:F267,F16,'RAW DATA'!C4:C267,"Import")</f>
        <v>0</v>
      </c>
      <c r="G21" s="51">
        <f>SUMIFS('RAW DATA'!H4:H267,'RAW DATA'!D4:D267,A21,'RAW DATA'!F4:F267,G16,'RAW DATA'!C4:C267,"Import")</f>
        <v>0</v>
      </c>
      <c r="H21" s="51">
        <f>SUMIFS('RAW DATA'!H4:H267,'RAW DATA'!D4:D267,A21,'RAW DATA'!F4:F267,H16,'RAW DATA'!C4:C267,"Import")</f>
        <v>0</v>
      </c>
      <c r="I21" s="51">
        <f>SUMIFS('RAW DATA'!H4:H267,'RAW DATA'!D4:D267,A21,'RAW DATA'!F4:F267,I16,'RAW DATA'!C4:C267,"Import")</f>
        <v>0</v>
      </c>
      <c r="J21" s="51">
        <f>SUMIFS('RAW DATA'!H4:H267,'RAW DATA'!D4:D267,A21,'RAW DATA'!F4:F267,J16,'RAW DATA'!C4:C267,"Import")</f>
        <v>7150</v>
      </c>
      <c r="K21" s="51">
        <f>SUMIFS('RAW DATA'!H4:H267,'RAW DATA'!D4:D267,A21,'RAW DATA'!F4:F267,K16,'RAW DATA'!C4:C267,"Import")</f>
        <v>4810</v>
      </c>
      <c r="L21" s="52">
        <f t="shared" si="2"/>
        <v>11960</v>
      </c>
    </row>
    <row r="22" spans="1:12" ht="15.75" customHeight="1" x14ac:dyDescent="0.25">
      <c r="A22" s="42" t="s">
        <v>350</v>
      </c>
      <c r="B22" s="51">
        <f>SUMIFS('RAW DATA'!H4:H267,'RAW DATA'!D4:D267,A22,'RAW DATA'!F4:F267,B16,'RAW DATA'!C4:C267,"Import")</f>
        <v>12340</v>
      </c>
      <c r="C22" s="51">
        <f>SUMIFS('RAW DATA'!H4:H267,'RAW DATA'!D4:D267,A22,'RAW DATA'!F4:F267,C16,'RAW DATA'!C4:C267,"Import")</f>
        <v>0</v>
      </c>
      <c r="D22" s="51">
        <f>SUMIFS('RAW DATA'!H4:H267,'RAW DATA'!D4:D267,A22,'RAW DATA'!F4:F267,D16,'RAW DATA'!C4:C267,"Import")</f>
        <v>7400</v>
      </c>
      <c r="E22" s="51">
        <f>SUMIFS('RAW DATA'!H4:H267,'RAW DATA'!D4:D267,A22,'RAW DATA'!F4:F267,E16,'RAW DATA'!C4:C267,"Import")</f>
        <v>4740</v>
      </c>
      <c r="F22" s="51">
        <f>SUMIFS('RAW DATA'!H4:H267,'RAW DATA'!D4:D267,A22,'RAW DATA'!F4:F267,F16,'RAW DATA'!C4:C267,"Import")</f>
        <v>0</v>
      </c>
      <c r="G22" s="51">
        <f>SUMIFS('RAW DATA'!H4:H267,'RAW DATA'!D4:D267,A22,'RAW DATA'!F4:F267,G16,'RAW DATA'!C4:C267,"Import")</f>
        <v>0</v>
      </c>
      <c r="H22" s="51">
        <f>SUMIFS('RAW DATA'!H4:H267,'RAW DATA'!D4:D267,A22,'RAW DATA'!F4:F267,H16,'RAW DATA'!C4:C267,"Import")</f>
        <v>0</v>
      </c>
      <c r="I22" s="51">
        <f>SUMIFS('RAW DATA'!H4:H267,'RAW DATA'!D4:D267,A22,'RAW DATA'!F4:F267,I16,'RAW DATA'!C4:C267,"Import")</f>
        <v>0</v>
      </c>
      <c r="J22" s="51">
        <f>SUMIFS('RAW DATA'!H4:H267,'RAW DATA'!D4:D267,A22,'RAW DATA'!F4:F267,J16,'RAW DATA'!C4:C267,"Import")</f>
        <v>0</v>
      </c>
      <c r="K22" s="51">
        <f>SUMIFS('RAW DATA'!H4:H267,'RAW DATA'!D4:D267,A22,'RAW DATA'!F4:F267,K16,'RAW DATA'!C4:C267,"Import")</f>
        <v>0</v>
      </c>
      <c r="L22" s="52">
        <f t="shared" si="2"/>
        <v>24480</v>
      </c>
    </row>
    <row r="23" spans="1:12" ht="18" customHeight="1" x14ac:dyDescent="0.25">
      <c r="A23" s="53" t="s">
        <v>461</v>
      </c>
      <c r="B23" s="54">
        <f t="shared" ref="B23:L23" si="3">SUM(B17:B22)</f>
        <v>101860</v>
      </c>
      <c r="C23" s="54">
        <f t="shared" si="3"/>
        <v>35760</v>
      </c>
      <c r="D23" s="54">
        <f t="shared" si="3"/>
        <v>50520</v>
      </c>
      <c r="E23" s="54">
        <f t="shared" si="3"/>
        <v>16780</v>
      </c>
      <c r="F23" s="54">
        <f t="shared" si="3"/>
        <v>16140</v>
      </c>
      <c r="G23" s="54">
        <f t="shared" si="3"/>
        <v>17260</v>
      </c>
      <c r="H23" s="54">
        <f t="shared" si="3"/>
        <v>11640</v>
      </c>
      <c r="I23" s="54">
        <f t="shared" si="3"/>
        <v>8940</v>
      </c>
      <c r="J23" s="54">
        <f t="shared" si="3"/>
        <v>7150</v>
      </c>
      <c r="K23" s="54">
        <f t="shared" si="3"/>
        <v>4810</v>
      </c>
      <c r="L23" s="54">
        <f t="shared" si="3"/>
        <v>270860</v>
      </c>
    </row>
  </sheetData>
  <mergeCells count="10">
    <mergeCell ref="A15:K15"/>
    <mergeCell ref="O10:P10"/>
    <mergeCell ref="O7:P7"/>
    <mergeCell ref="O8:P8"/>
    <mergeCell ref="O9:P9"/>
    <mergeCell ref="A1:P1"/>
    <mergeCell ref="A2:P2"/>
    <mergeCell ref="A4:K4"/>
    <mergeCell ref="M4:P4"/>
    <mergeCell ref="O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952A"/>
  </sheetPr>
  <dimension ref="A1:N18"/>
  <sheetViews>
    <sheetView showGridLines="0" topLeftCell="A68" zoomScaleNormal="100" workbookViewId="0">
      <selection activeCell="N26" sqref="N26"/>
    </sheetView>
  </sheetViews>
  <sheetFormatPr defaultColWidth="8.7109375" defaultRowHeight="15" x14ac:dyDescent="0.25"/>
  <cols>
    <col min="1" max="1" width="14" bestFit="1" customWidth="1"/>
    <col min="2" max="7" width="6.42578125" bestFit="1" customWidth="1"/>
    <col min="8" max="8" width="5.7109375" bestFit="1" customWidth="1"/>
    <col min="9" max="13" width="8.42578125" bestFit="1" customWidth="1"/>
    <col min="14" max="14" width="19.5703125" bestFit="1" customWidth="1"/>
  </cols>
  <sheetData>
    <row r="1" spans="1:14" ht="27.75" customHeight="1" x14ac:dyDescent="0.25">
      <c r="A1" s="117" t="s">
        <v>465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4" ht="18" customHeight="1" x14ac:dyDescent="0.25">
      <c r="A2" s="118" t="s">
        <v>466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4" spans="1:14" ht="15" customHeight="1" x14ac:dyDescent="0.25">
      <c r="A4" s="108" t="s">
        <v>467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9.5" customHeight="1" x14ac:dyDescent="0.25">
      <c r="A5" s="5" t="s">
        <v>407</v>
      </c>
      <c r="B5" s="5" t="s">
        <v>468</v>
      </c>
      <c r="C5" s="5" t="s">
        <v>469</v>
      </c>
      <c r="D5" s="5" t="s">
        <v>470</v>
      </c>
      <c r="E5" s="5" t="s">
        <v>471</v>
      </c>
      <c r="F5" s="5" t="s">
        <v>472</v>
      </c>
      <c r="G5" s="5" t="s">
        <v>473</v>
      </c>
      <c r="H5" s="5" t="s">
        <v>474</v>
      </c>
      <c r="I5" s="5" t="s">
        <v>475</v>
      </c>
      <c r="J5" s="5" t="s">
        <v>476</v>
      </c>
      <c r="K5" s="5" t="s">
        <v>477</v>
      </c>
      <c r="L5" s="5" t="s">
        <v>478</v>
      </c>
      <c r="M5" s="5" t="s">
        <v>479</v>
      </c>
      <c r="N5" s="5" t="s">
        <v>480</v>
      </c>
    </row>
    <row r="6" spans="1:14" ht="18" customHeight="1" x14ac:dyDescent="0.25">
      <c r="A6" s="39" t="s">
        <v>481</v>
      </c>
      <c r="B6" s="55">
        <f>SUMIFS('RAW DATA'!H4:H267,'RAW DATA'!C4:C267,"Export",'RAW DATA'!B4:B267,2019)</f>
        <v>47442</v>
      </c>
      <c r="C6" s="55">
        <f>SUMIFS('RAW DATA'!H4:H267,'RAW DATA'!C4:C267,"Export",'RAW DATA'!B4:B267,2020)</f>
        <v>37208</v>
      </c>
      <c r="D6" s="55">
        <f>SUMIFS('RAW DATA'!H4:H267,'RAW DATA'!C4:C267,"Export",'RAW DATA'!B4:B267,2021)</f>
        <v>57636</v>
      </c>
      <c r="E6" s="55">
        <f>SUMIFS('RAW DATA'!H4:H267,'RAW DATA'!C4:C267,"Export",'RAW DATA'!B4:B267,2022)</f>
        <v>86916</v>
      </c>
      <c r="F6" s="55">
        <f>SUMIFS('RAW DATA'!H4:H267,'RAW DATA'!C4:C267,"Export",'RAW DATA'!B4:B267,2023)</f>
        <v>75926</v>
      </c>
      <c r="G6" s="55">
        <f>SUMIFS('RAW DATA'!H4:H267,'RAW DATA'!C4:C267,"Export",'RAW DATA'!B4:B267,2024)</f>
        <v>74390</v>
      </c>
      <c r="H6" s="56">
        <f>IFERROR((G6/B6)^(1/5)-1,0)</f>
        <v>9.4133496249308113E-2</v>
      </c>
      <c r="I6" s="57">
        <f t="shared" ref="I6:M7" si="0">IFERROR(C6/B6-1,0)</f>
        <v>-0.21571603220774838</v>
      </c>
      <c r="J6" s="57">
        <f t="shared" si="0"/>
        <v>0.54902171576005165</v>
      </c>
      <c r="K6" s="57">
        <f t="shared" si="0"/>
        <v>0.50801582344368112</v>
      </c>
      <c r="L6" s="57">
        <f t="shared" si="0"/>
        <v>-0.1264439228680565</v>
      </c>
      <c r="M6" s="57">
        <f t="shared" si="0"/>
        <v>-2.0230224165634914E-2</v>
      </c>
    </row>
    <row r="7" spans="1:14" ht="18" customHeight="1" x14ac:dyDescent="0.25">
      <c r="A7" s="42" t="s">
        <v>482</v>
      </c>
      <c r="B7" s="55">
        <f>SUMIFS('RAW DATA'!H4:H267,'RAW DATA'!C4:C267,"Import",'RAW DATA'!B4:B267,2019)</f>
        <v>41620</v>
      </c>
      <c r="C7" s="55">
        <f>SUMIFS('RAW DATA'!H4:H267,'RAW DATA'!C4:C267,"Import",'RAW DATA'!B4:B267,2020)</f>
        <v>32570</v>
      </c>
      <c r="D7" s="55">
        <f>SUMIFS('RAW DATA'!H4:H267,'RAW DATA'!C4:C267,"Import",'RAW DATA'!B4:B267,2021)</f>
        <v>43060</v>
      </c>
      <c r="E7" s="55">
        <f>SUMIFS('RAW DATA'!H4:H267,'RAW DATA'!C4:C267,"Import",'RAW DATA'!B4:B267,2022)</f>
        <v>53770</v>
      </c>
      <c r="F7" s="55">
        <f>SUMIFS('RAW DATA'!H4:H267,'RAW DATA'!C4:C267,"Import",'RAW DATA'!B4:B267,2023)</f>
        <v>48540</v>
      </c>
      <c r="G7" s="55">
        <f>SUMIFS('RAW DATA'!H4:H267,'RAW DATA'!C4:C267,"Import",'RAW DATA'!B4:B267,2024)</f>
        <v>53510</v>
      </c>
      <c r="H7" s="56">
        <f>IFERROR((G7/B7)^(1/5)-1,0)</f>
        <v>5.1541882195720978E-2</v>
      </c>
      <c r="I7" s="58">
        <f t="shared" si="0"/>
        <v>-0.21744353676117256</v>
      </c>
      <c r="J7" s="58">
        <f t="shared" si="0"/>
        <v>0.32207552962849251</v>
      </c>
      <c r="K7" s="58">
        <f t="shared" si="0"/>
        <v>0.2487227124941942</v>
      </c>
      <c r="L7" s="58">
        <f t="shared" si="0"/>
        <v>-9.7266133531709098E-2</v>
      </c>
      <c r="M7" s="58">
        <f t="shared" si="0"/>
        <v>0.1023897816234034</v>
      </c>
    </row>
    <row r="8" spans="1:14" ht="18" customHeight="1" x14ac:dyDescent="0.25">
      <c r="A8" s="29" t="s">
        <v>483</v>
      </c>
      <c r="B8" s="59">
        <f t="shared" ref="B8:G8" si="1">B6-B7</f>
        <v>5822</v>
      </c>
      <c r="C8" s="59">
        <f t="shared" si="1"/>
        <v>4638</v>
      </c>
      <c r="D8" s="59">
        <f t="shared" si="1"/>
        <v>14576</v>
      </c>
      <c r="E8" s="59">
        <f t="shared" si="1"/>
        <v>33146</v>
      </c>
      <c r="F8" s="59">
        <f t="shared" si="1"/>
        <v>27386</v>
      </c>
      <c r="G8" s="59">
        <f t="shared" si="1"/>
        <v>20880</v>
      </c>
    </row>
    <row r="11" spans="1:14" ht="15" customHeight="1" x14ac:dyDescent="0.25">
      <c r="A11" s="115" t="s">
        <v>484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</row>
    <row r="12" spans="1:14" ht="19.5" customHeight="1" x14ac:dyDescent="0.25">
      <c r="A12" s="23" t="s">
        <v>50</v>
      </c>
      <c r="B12" s="23" t="s">
        <v>468</v>
      </c>
      <c r="C12" s="23" t="s">
        <v>469</v>
      </c>
      <c r="D12" s="23" t="s">
        <v>470</v>
      </c>
      <c r="E12" s="23" t="s">
        <v>471</v>
      </c>
      <c r="F12" s="23" t="s">
        <v>472</v>
      </c>
      <c r="G12" s="23" t="s">
        <v>473</v>
      </c>
      <c r="H12" s="23" t="s">
        <v>474</v>
      </c>
      <c r="I12" s="23" t="s">
        <v>469</v>
      </c>
      <c r="J12" s="23" t="s">
        <v>470</v>
      </c>
      <c r="K12" s="23" t="s">
        <v>471</v>
      </c>
      <c r="L12" s="23" t="s">
        <v>472</v>
      </c>
      <c r="M12" s="23" t="s">
        <v>473</v>
      </c>
      <c r="N12" s="23" t="s">
        <v>485</v>
      </c>
    </row>
    <row r="13" spans="1:14" ht="15.75" customHeight="1" x14ac:dyDescent="0.25">
      <c r="A13" s="39" t="s">
        <v>60</v>
      </c>
      <c r="B13" s="55">
        <f>SUMIFS('RAW DATA'!H4:H267,'RAW DATA'!D4:D267,A13,'RAW DATA'!B4:B267,2019)</f>
        <v>12940</v>
      </c>
      <c r="C13" s="55">
        <f>SUMIFS('RAW DATA'!H4:H267,'RAW DATA'!D4:D267,A13,'RAW DATA'!B4:B267,2020)</f>
        <v>11360</v>
      </c>
      <c r="D13" s="55">
        <f>SUMIFS('RAW DATA'!H4:H267,'RAW DATA'!D4:D267,A13,'RAW DATA'!B4:B267,2021)</f>
        <v>14080</v>
      </c>
      <c r="E13" s="55">
        <f>SUMIFS('RAW DATA'!H4:H267,'RAW DATA'!D4:D267,A13,'RAW DATA'!B4:B267,2022)</f>
        <v>17990</v>
      </c>
      <c r="F13" s="55">
        <f>SUMIFS('RAW DATA'!H4:H267,'RAW DATA'!D4:D267,A13,'RAW DATA'!B4:B267,2023)</f>
        <v>15520</v>
      </c>
      <c r="G13" s="55">
        <f>SUMIFS('RAW DATA'!H4:H267,'RAW DATA'!D4:D267,A13,'RAW DATA'!B4:B267,2024)</f>
        <v>16380</v>
      </c>
      <c r="H13" s="60">
        <f t="shared" ref="H13:H18" si="2">IFERROR((G13/B13)^(1/5)-1,0)</f>
        <v>4.8276679142382095E-2</v>
      </c>
      <c r="I13" s="57">
        <f t="shared" ref="I13:M18" si="3">IFERROR(C13/B13-1,0)</f>
        <v>-0.12210200927357029</v>
      </c>
      <c r="J13" s="57">
        <f t="shared" si="3"/>
        <v>0.23943661971830976</v>
      </c>
      <c r="K13" s="57">
        <f t="shared" si="3"/>
        <v>0.27769886363636354</v>
      </c>
      <c r="L13" s="57">
        <f t="shared" si="3"/>
        <v>-0.1372984991662034</v>
      </c>
      <c r="M13" s="57">
        <f t="shared" si="3"/>
        <v>5.5412371134020644E-2</v>
      </c>
      <c r="N13" s="61" t="s">
        <v>486</v>
      </c>
    </row>
    <row r="14" spans="1:14" ht="15.75" customHeight="1" x14ac:dyDescent="0.25">
      <c r="A14" s="39" t="s">
        <v>101</v>
      </c>
      <c r="B14" s="55">
        <f>SUMIFS('RAW DATA'!H4:H267,'RAW DATA'!D4:D267,A14,'RAW DATA'!B4:B267,2019)</f>
        <v>18770</v>
      </c>
      <c r="C14" s="55">
        <f>SUMIFS('RAW DATA'!H4:H267,'RAW DATA'!D4:D267,A14,'RAW DATA'!B4:B267,2020)</f>
        <v>12570</v>
      </c>
      <c r="D14" s="55">
        <f>SUMIFS('RAW DATA'!H4:H267,'RAW DATA'!D4:D267,A14,'RAW DATA'!B4:B267,2021)</f>
        <v>24430</v>
      </c>
      <c r="E14" s="55">
        <f>SUMIFS('RAW DATA'!H4:H267,'RAW DATA'!D4:D267,A14,'RAW DATA'!B4:B267,2022)</f>
        <v>40170</v>
      </c>
      <c r="F14" s="55">
        <f>SUMIFS('RAW DATA'!H4:H267,'RAW DATA'!D4:D267,A14,'RAW DATA'!B4:B267,2023)</f>
        <v>28120</v>
      </c>
      <c r="G14" s="55">
        <f>SUMIFS('RAW DATA'!H4:H267,'RAW DATA'!D4:D267,A14,'RAW DATA'!B4:B267,2024)</f>
        <v>24550</v>
      </c>
      <c r="H14" s="60">
        <f t="shared" si="2"/>
        <v>5.515787547087303E-2</v>
      </c>
      <c r="I14" s="57">
        <f t="shared" si="3"/>
        <v>-0.33031433137986144</v>
      </c>
      <c r="J14" s="57">
        <f t="shared" si="3"/>
        <v>0.94351630867143998</v>
      </c>
      <c r="K14" s="57">
        <f t="shared" si="3"/>
        <v>0.64428980761358989</v>
      </c>
      <c r="L14" s="57">
        <f t="shared" si="3"/>
        <v>-0.29997510580034847</v>
      </c>
      <c r="M14" s="57">
        <f t="shared" si="3"/>
        <v>-0.1269559032716927</v>
      </c>
      <c r="N14" s="61" t="s">
        <v>487</v>
      </c>
    </row>
    <row r="15" spans="1:14" ht="15.75" customHeight="1" x14ac:dyDescent="0.25">
      <c r="A15" s="39" t="s">
        <v>136</v>
      </c>
      <c r="B15" s="55">
        <f>SUMIFS('RAW DATA'!H4:H267,'RAW DATA'!D4:D267,A15,'RAW DATA'!B4:B267,2019)</f>
        <v>4880</v>
      </c>
      <c r="C15" s="55">
        <f>SUMIFS('RAW DATA'!H4:H267,'RAW DATA'!D4:D267,A15,'RAW DATA'!B4:B267,2020)</f>
        <v>5790</v>
      </c>
      <c r="D15" s="55">
        <f>SUMIFS('RAW DATA'!H4:H267,'RAW DATA'!D4:D267,A15,'RAW DATA'!B4:B267,2021)</f>
        <v>9220</v>
      </c>
      <c r="E15" s="55">
        <f>SUMIFS('RAW DATA'!H4:H267,'RAW DATA'!D4:D267,A15,'RAW DATA'!B4:B267,2022)</f>
        <v>15270</v>
      </c>
      <c r="F15" s="55">
        <f>SUMIFS('RAW DATA'!H4:H267,'RAW DATA'!D4:D267,A15,'RAW DATA'!B4:B267,2023)</f>
        <v>20980</v>
      </c>
      <c r="G15" s="55">
        <f>SUMIFS('RAW DATA'!H4:H267,'RAW DATA'!D4:D267,A15,'RAW DATA'!B4:B267,2024)</f>
        <v>22990</v>
      </c>
      <c r="H15" s="60">
        <f t="shared" si="2"/>
        <v>0.36340169584631954</v>
      </c>
      <c r="I15" s="57">
        <f t="shared" si="3"/>
        <v>0.18647540983606548</v>
      </c>
      <c r="J15" s="57">
        <f t="shared" si="3"/>
        <v>0.59240069084628666</v>
      </c>
      <c r="K15" s="57">
        <f t="shared" si="3"/>
        <v>0.65618221258134479</v>
      </c>
      <c r="L15" s="57">
        <f t="shared" si="3"/>
        <v>0.3739358218729536</v>
      </c>
      <c r="M15" s="57">
        <f t="shared" si="3"/>
        <v>9.5805529075309925E-2</v>
      </c>
      <c r="N15" s="61" t="s">
        <v>488</v>
      </c>
    </row>
    <row r="16" spans="1:14" ht="15.75" customHeight="1" x14ac:dyDescent="0.25">
      <c r="A16" s="39" t="s">
        <v>156</v>
      </c>
      <c r="B16" s="55">
        <f>SUMIFS('RAW DATA'!H4:H267,'RAW DATA'!D4:D267,A16,'RAW DATA'!B4:B267,2019)</f>
        <v>3470</v>
      </c>
      <c r="C16" s="55">
        <f>SUMIFS('RAW DATA'!H4:H267,'RAW DATA'!D4:D267,A16,'RAW DATA'!B4:B267,2020)</f>
        <v>2690</v>
      </c>
      <c r="D16" s="55">
        <f>SUMIFS('RAW DATA'!H4:H267,'RAW DATA'!D4:D267,A16,'RAW DATA'!B4:B267,2021)</f>
        <v>3260</v>
      </c>
      <c r="E16" s="55">
        <f>SUMIFS('RAW DATA'!H4:H267,'RAW DATA'!D4:D267,A16,'RAW DATA'!B4:B267,2022)</f>
        <v>4010</v>
      </c>
      <c r="F16" s="55">
        <f>SUMIFS('RAW DATA'!H4:H267,'RAW DATA'!D4:D267,A16,'RAW DATA'!B4:B267,2023)</f>
        <v>3250</v>
      </c>
      <c r="G16" s="55">
        <f>SUMIFS('RAW DATA'!H4:H267,'RAW DATA'!D4:D267,A16,'RAW DATA'!B4:B267,2024)</f>
        <v>3650</v>
      </c>
      <c r="H16" s="60">
        <f t="shared" si="2"/>
        <v>1.016583932639703E-2</v>
      </c>
      <c r="I16" s="57">
        <f t="shared" si="3"/>
        <v>-0.22478386167146969</v>
      </c>
      <c r="J16" s="57">
        <f t="shared" si="3"/>
        <v>0.21189591078066905</v>
      </c>
      <c r="K16" s="57">
        <f t="shared" si="3"/>
        <v>0.23006134969325154</v>
      </c>
      <c r="L16" s="57">
        <f t="shared" si="3"/>
        <v>-0.18952618453865333</v>
      </c>
      <c r="M16" s="57">
        <f t="shared" si="3"/>
        <v>0.12307692307692308</v>
      </c>
      <c r="N16" s="61" t="s">
        <v>489</v>
      </c>
    </row>
    <row r="17" spans="1:14" ht="15.75" customHeight="1" x14ac:dyDescent="0.25">
      <c r="A17" s="39" t="s">
        <v>178</v>
      </c>
      <c r="B17" s="55">
        <f>SUMIFS('RAW DATA'!H4:H267,'RAW DATA'!D4:D267,A17,'RAW DATA'!B4:B267,2019)</f>
        <v>6620</v>
      </c>
      <c r="C17" s="55">
        <f>SUMIFS('RAW DATA'!H4:H267,'RAW DATA'!D4:D267,A17,'RAW DATA'!B4:B267,2020)</f>
        <v>4100</v>
      </c>
      <c r="D17" s="55">
        <f>SUMIFS('RAW DATA'!H4:H267,'RAW DATA'!D4:D267,A17,'RAW DATA'!B4:B267,2021)</f>
        <v>5800</v>
      </c>
      <c r="E17" s="55">
        <f>SUMIFS('RAW DATA'!H4:H267,'RAW DATA'!D4:D267,A17,'RAW DATA'!B4:B267,2022)</f>
        <v>8340</v>
      </c>
      <c r="F17" s="55">
        <f>SUMIFS('RAW DATA'!H4:H267,'RAW DATA'!D4:D267,A17,'RAW DATA'!B4:B267,2023)</f>
        <v>7020</v>
      </c>
      <c r="G17" s="55">
        <f>SUMIFS('RAW DATA'!H4:H267,'RAW DATA'!D4:D267,A17,'RAW DATA'!B4:B267,2024)</f>
        <v>5840</v>
      </c>
      <c r="H17" s="60">
        <f t="shared" si="2"/>
        <v>-2.4761199732422967E-2</v>
      </c>
      <c r="I17" s="57">
        <f t="shared" si="3"/>
        <v>-0.38066465256797588</v>
      </c>
      <c r="J17" s="57">
        <f t="shared" si="3"/>
        <v>0.41463414634146334</v>
      </c>
      <c r="K17" s="57">
        <f t="shared" si="3"/>
        <v>0.43793103448275872</v>
      </c>
      <c r="L17" s="57">
        <f t="shared" si="3"/>
        <v>-0.15827338129496404</v>
      </c>
      <c r="M17" s="57">
        <f t="shared" si="3"/>
        <v>-0.16809116809116809</v>
      </c>
      <c r="N17" s="61" t="s">
        <v>490</v>
      </c>
    </row>
    <row r="18" spans="1:14" ht="15.75" customHeight="1" x14ac:dyDescent="0.25">
      <c r="A18" s="39" t="s">
        <v>198</v>
      </c>
      <c r="B18" s="55">
        <f>SUMIFS('RAW DATA'!H4:H267,'RAW DATA'!D4:D267,A18,'RAW DATA'!B4:B267,2019)</f>
        <v>762</v>
      </c>
      <c r="C18" s="55">
        <f>SUMIFS('RAW DATA'!H4:H267,'RAW DATA'!D4:D267,A18,'RAW DATA'!B4:B267,2020)</f>
        <v>698</v>
      </c>
      <c r="D18" s="55">
        <f>SUMIFS('RAW DATA'!H4:H267,'RAW DATA'!D4:D267,A18,'RAW DATA'!B4:B267,2021)</f>
        <v>846</v>
      </c>
      <c r="E18" s="55">
        <f>SUMIFS('RAW DATA'!H4:H267,'RAW DATA'!D4:D267,A18,'RAW DATA'!B4:B267,2022)</f>
        <v>1136</v>
      </c>
      <c r="F18" s="55">
        <f>SUMIFS('RAW DATA'!H4:H267,'RAW DATA'!D4:D267,A18,'RAW DATA'!B4:B267,2023)</f>
        <v>1036</v>
      </c>
      <c r="G18" s="55">
        <f>SUMIFS('RAW DATA'!H4:H267,'RAW DATA'!D4:D267,A18,'RAW DATA'!B4:B267,2024)</f>
        <v>980</v>
      </c>
      <c r="H18" s="60">
        <f t="shared" si="2"/>
        <v>5.1608822248026875E-2</v>
      </c>
      <c r="I18" s="57">
        <f t="shared" si="3"/>
        <v>-8.3989501312335957E-2</v>
      </c>
      <c r="J18" s="57">
        <f t="shared" si="3"/>
        <v>0.21203438395415475</v>
      </c>
      <c r="K18" s="57">
        <f t="shared" si="3"/>
        <v>0.34278959810874698</v>
      </c>
      <c r="L18" s="57">
        <f t="shared" si="3"/>
        <v>-8.8028169014084501E-2</v>
      </c>
      <c r="M18" s="57">
        <f t="shared" si="3"/>
        <v>-5.4054054054054057E-2</v>
      </c>
      <c r="N18" s="61" t="s">
        <v>491</v>
      </c>
    </row>
  </sheetData>
  <mergeCells count="4">
    <mergeCell ref="A1:N1"/>
    <mergeCell ref="A2:N2"/>
    <mergeCell ref="A4:N4"/>
    <mergeCell ref="A11:N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7472A"/>
  </sheetPr>
  <dimension ref="A1:L23"/>
  <sheetViews>
    <sheetView showGridLines="0" zoomScaleNormal="100" workbookViewId="0">
      <selection activeCell="A23" sqref="A23:L23"/>
    </sheetView>
  </sheetViews>
  <sheetFormatPr defaultColWidth="8.7109375" defaultRowHeight="15" x14ac:dyDescent="0.25"/>
  <cols>
    <col min="1" max="1" width="13.42578125" bestFit="1" customWidth="1"/>
    <col min="2" max="2" width="12" customWidth="1"/>
    <col min="3" max="3" width="11.28515625" bestFit="1" customWidth="1"/>
    <col min="4" max="4" width="11.5703125" bestFit="1" customWidth="1"/>
    <col min="5" max="5" width="12" bestFit="1" customWidth="1"/>
    <col min="6" max="6" width="8.7109375" bestFit="1" customWidth="1"/>
    <col min="7" max="7" width="9.7109375" bestFit="1" customWidth="1"/>
    <col min="8" max="8" width="10.85546875" bestFit="1" customWidth="1"/>
    <col min="9" max="9" width="11.140625" bestFit="1" customWidth="1"/>
    <col min="10" max="10" width="10.85546875" bestFit="1" customWidth="1"/>
    <col min="11" max="11" width="14.5703125" bestFit="1" customWidth="1"/>
    <col min="12" max="12" width="17.85546875" bestFit="1" customWidth="1"/>
  </cols>
  <sheetData>
    <row r="1" spans="1:12" ht="27.75" customHeight="1" x14ac:dyDescent="0.25">
      <c r="A1" s="117" t="s">
        <v>492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8" customHeight="1" x14ac:dyDescent="0.25">
      <c r="A2" s="118" t="s">
        <v>493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4" spans="1:12" ht="15" customHeight="1" x14ac:dyDescent="0.25">
      <c r="A4" s="108" t="s">
        <v>494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</row>
    <row r="5" spans="1:12" ht="19.5" customHeight="1" x14ac:dyDescent="0.25">
      <c r="A5" s="44" t="s">
        <v>495</v>
      </c>
      <c r="C5" s="44" t="s">
        <v>481</v>
      </c>
      <c r="D5" s="44" t="s">
        <v>482</v>
      </c>
      <c r="E5" s="44" t="s">
        <v>483</v>
      </c>
      <c r="F5" s="44" t="s">
        <v>496</v>
      </c>
      <c r="G5" s="44" t="s">
        <v>497</v>
      </c>
      <c r="H5" s="44" t="s">
        <v>498</v>
      </c>
      <c r="I5" s="44" t="s">
        <v>499</v>
      </c>
      <c r="J5" s="44" t="s">
        <v>500</v>
      </c>
      <c r="K5" s="44" t="s">
        <v>501</v>
      </c>
      <c r="L5" s="44" t="s">
        <v>502</v>
      </c>
    </row>
    <row r="6" spans="1:12" ht="15.75" customHeight="1" x14ac:dyDescent="0.25">
      <c r="A6" s="124" t="s">
        <v>70</v>
      </c>
      <c r="B6" s="124"/>
      <c r="C6" s="55">
        <f>SUMIFS('RAW DATA'!H4:H267,'RAW DATA'!F4:F267,A6,'RAW DATA'!C4:C267,"Export")</f>
        <v>166040</v>
      </c>
      <c r="D6" s="55">
        <f>SUMIFS('RAW DATA'!H4:H267,'RAW DATA'!F4:F267,A6,'RAW DATA'!C4:C267,"Import")</f>
        <v>101860</v>
      </c>
      <c r="E6" s="62">
        <f t="shared" ref="E6:E20" si="0">C6-D6</f>
        <v>64180</v>
      </c>
      <c r="F6" s="36">
        <f t="shared" ref="F6:F20" si="1">IFERROR(E6/(C6+D6),0)</f>
        <v>0.23956700261291528</v>
      </c>
      <c r="G6" s="35" t="str">
        <f t="shared" ref="G6:G20" si="2">IF(E6&gt;0,"✅ Surplus","🔴 Deficit")</f>
        <v>✅ Surplus</v>
      </c>
      <c r="H6" s="55">
        <f>SUMIFS('RAW DATA'!H4:H267,'RAW DATA'!F4:F267,A6,'RAW DATA'!C4:C267,"Export",'RAW DATA'!B4:B267,2024)</f>
        <v>35690</v>
      </c>
      <c r="I6" s="55">
        <f>SUMIFS('RAW DATA'!H4:H267,'RAW DATA'!F4:F267,A6,'RAW DATA'!C4:C267,"Import",'RAW DATA'!B4:B267,2024)</f>
        <v>20260</v>
      </c>
      <c r="J6" s="55">
        <f t="shared" ref="J6:J20" si="3">H6-I6</f>
        <v>15430</v>
      </c>
      <c r="K6" s="36">
        <f>IFERROR(SUMIFS('RAW DATA'!H4:H267,'RAW DATA'!F4:F267,A6,'RAW DATA'!C4:C267,"Export",'RAW DATA'!B4:B267,2024)/SUMIFS('RAW DATA'!H4:H267,'RAW DATA'!F4:F267,A6,'RAW DATA'!C4:C267,"Export",'RAW DATA'!B4:B267,2019)-1,0)</f>
        <v>0.90855614973262022</v>
      </c>
      <c r="L6" s="1" t="s">
        <v>503</v>
      </c>
    </row>
    <row r="7" spans="1:12" ht="15.75" customHeight="1" x14ac:dyDescent="0.25">
      <c r="A7" s="123" t="s">
        <v>61</v>
      </c>
      <c r="B7" s="123"/>
      <c r="C7" s="55">
        <f>SUMIFS('RAW DATA'!H4:H267,'RAW DATA'!F4:F267,A7,'RAW DATA'!C4:C267,"Export")</f>
        <v>66950</v>
      </c>
      <c r="D7" s="55">
        <f>SUMIFS('RAW DATA'!H4:H267,'RAW DATA'!F4:F267,A7,'RAW DATA'!C4:C267,"Import")</f>
        <v>0</v>
      </c>
      <c r="E7" s="62">
        <f t="shared" si="0"/>
        <v>66950</v>
      </c>
      <c r="F7" s="36">
        <f t="shared" si="1"/>
        <v>1</v>
      </c>
      <c r="G7" s="35" t="str">
        <f t="shared" si="2"/>
        <v>✅ Surplus</v>
      </c>
      <c r="H7" s="55">
        <f>SUMIFS('RAW DATA'!H4:H267,'RAW DATA'!F4:F267,A7,'RAW DATA'!C4:C267,"Export",'RAW DATA'!B4:B267,2024)</f>
        <v>11810</v>
      </c>
      <c r="I7" s="55">
        <f>SUMIFS('RAW DATA'!H4:H267,'RAW DATA'!F4:F267,A7,'RAW DATA'!C4:C267,"Import",'RAW DATA'!B4:B267,2024)</f>
        <v>0</v>
      </c>
      <c r="J7" s="55">
        <f t="shared" si="3"/>
        <v>11810</v>
      </c>
      <c r="K7" s="36">
        <f>IFERROR(SUMIFS('RAW DATA'!H4:H267,'RAW DATA'!F4:F267,A7,'RAW DATA'!C4:C267,"Export",'RAW DATA'!B4:B267,2024)/SUMIFS('RAW DATA'!H4:H267,'RAW DATA'!F4:F267,A7,'RAW DATA'!C4:C267,"Export",'RAW DATA'!B4:B267,2019)-1,0)</f>
        <v>0.30209481808158767</v>
      </c>
      <c r="L7" s="63" t="s">
        <v>60</v>
      </c>
    </row>
    <row r="8" spans="1:12" ht="15.75" customHeight="1" x14ac:dyDescent="0.25">
      <c r="A8" s="124" t="s">
        <v>115</v>
      </c>
      <c r="B8" s="124"/>
      <c r="C8" s="55">
        <f>SUMIFS('RAW DATA'!H4:H267,'RAW DATA'!F4:F267,A8,'RAW DATA'!C4:C267,"Export")</f>
        <v>53254</v>
      </c>
      <c r="D8" s="55">
        <f>SUMIFS('RAW DATA'!H4:H267,'RAW DATA'!F4:F267,A8,'RAW DATA'!C4:C267,"Import")</f>
        <v>35760</v>
      </c>
      <c r="E8" s="62">
        <f t="shared" si="0"/>
        <v>17494</v>
      </c>
      <c r="F8" s="36">
        <f t="shared" si="1"/>
        <v>0.19653088278248365</v>
      </c>
      <c r="G8" s="35" t="str">
        <f t="shared" si="2"/>
        <v>✅ Surplus</v>
      </c>
      <c r="H8" s="55">
        <f>SUMIFS('RAW DATA'!H4:H267,'RAW DATA'!F4:F267,A8,'RAW DATA'!C4:C267,"Export",'RAW DATA'!B4:B267,2024)</f>
        <v>9948</v>
      </c>
      <c r="I8" s="55">
        <f>SUMIFS('RAW DATA'!H4:H267,'RAW DATA'!F4:F267,A8,'RAW DATA'!C4:C267,"Import",'RAW DATA'!B4:B267,2024)</f>
        <v>7020</v>
      </c>
      <c r="J8" s="55">
        <f t="shared" si="3"/>
        <v>2928</v>
      </c>
      <c r="K8" s="36">
        <f>IFERROR(SUMIFS('RAW DATA'!H4:H267,'RAW DATA'!F4:F267,A8,'RAW DATA'!C4:C267,"Export",'RAW DATA'!B4:B267,2024)/SUMIFS('RAW DATA'!H4:H267,'RAW DATA'!F4:F267,A8,'RAW DATA'!C4:C267,"Export",'RAW DATA'!B4:B267,2019)-1,0)</f>
        <v>0.45993542706193136</v>
      </c>
      <c r="L8" s="1" t="s">
        <v>504</v>
      </c>
    </row>
    <row r="9" spans="1:12" ht="15.75" customHeight="1" x14ac:dyDescent="0.25">
      <c r="A9" s="123" t="s">
        <v>164</v>
      </c>
      <c r="B9" s="123"/>
      <c r="C9" s="55">
        <f>SUMIFS('RAW DATA'!H4:H267,'RAW DATA'!F4:F267,A9,'RAW DATA'!C4:C267,"Export")</f>
        <v>7908</v>
      </c>
      <c r="D9" s="55">
        <f>SUMIFS('RAW DATA'!H4:H267,'RAW DATA'!F4:F267,A9,'RAW DATA'!C4:C267,"Import")</f>
        <v>16140</v>
      </c>
      <c r="E9" s="62">
        <f t="shared" si="0"/>
        <v>-8232</v>
      </c>
      <c r="F9" s="36">
        <f t="shared" si="1"/>
        <v>-0.34231536926147704</v>
      </c>
      <c r="G9" s="35" t="str">
        <f t="shared" si="2"/>
        <v>🔴 Deficit</v>
      </c>
      <c r="H9" s="55">
        <f>SUMIFS('RAW DATA'!H4:H267,'RAW DATA'!F4:F267,A9,'RAW DATA'!C4:C267,"Export",'RAW DATA'!B4:B267,2024)</f>
        <v>1418</v>
      </c>
      <c r="I9" s="55">
        <f>SUMIFS('RAW DATA'!H4:H267,'RAW DATA'!F4:F267,A9,'RAW DATA'!C4:C267,"Import",'RAW DATA'!B4:B267,2024)</f>
        <v>3160</v>
      </c>
      <c r="J9" s="55">
        <f t="shared" si="3"/>
        <v>-1742</v>
      </c>
      <c r="K9" s="36">
        <f>IFERROR(SUMIFS('RAW DATA'!H4:H267,'RAW DATA'!F4:F267,A9,'RAW DATA'!C4:C267,"Export",'RAW DATA'!B4:B267,2024)/SUMIFS('RAW DATA'!H4:H267,'RAW DATA'!F4:F267,A9,'RAW DATA'!C4:C267,"Export",'RAW DATA'!B4:B267,2019)-1,0)</f>
        <v>0.11302982731554168</v>
      </c>
      <c r="L9" s="63" t="s">
        <v>505</v>
      </c>
    </row>
    <row r="10" spans="1:12" ht="15.75" customHeight="1" x14ac:dyDescent="0.25">
      <c r="A10" s="124" t="s">
        <v>185</v>
      </c>
      <c r="B10" s="124"/>
      <c r="C10" s="55">
        <f>SUMIFS('RAW DATA'!H4:H267,'RAW DATA'!F4:F267,A10,'RAW DATA'!C4:C267,"Export")</f>
        <v>10520</v>
      </c>
      <c r="D10" s="55">
        <f>SUMIFS('RAW DATA'!H4:H267,'RAW DATA'!F4:F267,A10,'RAW DATA'!C4:C267,"Import")</f>
        <v>50520</v>
      </c>
      <c r="E10" s="62">
        <f t="shared" si="0"/>
        <v>-40000</v>
      </c>
      <c r="F10" s="36">
        <f t="shared" si="1"/>
        <v>-0.65530799475753609</v>
      </c>
      <c r="G10" s="35" t="str">
        <f t="shared" si="2"/>
        <v>🔴 Deficit</v>
      </c>
      <c r="H10" s="55">
        <f>SUMIFS('RAW DATA'!H4:H267,'RAW DATA'!F4:F267,A10,'RAW DATA'!C4:C267,"Export",'RAW DATA'!B4:B267,2024)</f>
        <v>1640</v>
      </c>
      <c r="I10" s="55">
        <f>SUMIFS('RAW DATA'!H4:H267,'RAW DATA'!F4:F267,A10,'RAW DATA'!C4:C267,"Import",'RAW DATA'!B4:B267,2024)</f>
        <v>9880</v>
      </c>
      <c r="J10" s="55">
        <f t="shared" si="3"/>
        <v>-8240</v>
      </c>
      <c r="K10" s="36">
        <f>IFERROR(SUMIFS('RAW DATA'!H4:H267,'RAW DATA'!F4:F267,A10,'RAW DATA'!C4:C267,"Export",'RAW DATA'!B4:B267,2024)/SUMIFS('RAW DATA'!H4:H267,'RAW DATA'!F4:F267,A10,'RAW DATA'!C4:C267,"Export",'RAW DATA'!B4:B267,2019)-1,0)</f>
        <v>-0.10869565217391308</v>
      </c>
      <c r="L10" s="1" t="s">
        <v>506</v>
      </c>
    </row>
    <row r="11" spans="1:12" ht="15.75" customHeight="1" x14ac:dyDescent="0.25">
      <c r="A11" s="123" t="s">
        <v>122</v>
      </c>
      <c r="B11" s="123"/>
      <c r="C11" s="55">
        <f>SUMIFS('RAW DATA'!H4:H267,'RAW DATA'!F4:F267,A11,'RAW DATA'!C4:C267,"Export")</f>
        <v>30340</v>
      </c>
      <c r="D11" s="55">
        <f>SUMIFS('RAW DATA'!H4:H267,'RAW DATA'!F4:F267,A11,'RAW DATA'!C4:C267,"Import")</f>
        <v>17260</v>
      </c>
      <c r="E11" s="62">
        <f t="shared" si="0"/>
        <v>13080</v>
      </c>
      <c r="F11" s="36">
        <f t="shared" si="1"/>
        <v>0.27478991596638658</v>
      </c>
      <c r="G11" s="35" t="str">
        <f t="shared" si="2"/>
        <v>✅ Surplus</v>
      </c>
      <c r="H11" s="55">
        <f>SUMIFS('RAW DATA'!H4:H267,'RAW DATA'!F4:F267,A11,'RAW DATA'!C4:C267,"Export",'RAW DATA'!B4:B267,2024)</f>
        <v>5900</v>
      </c>
      <c r="I11" s="55">
        <f>SUMIFS('RAW DATA'!H4:H267,'RAW DATA'!F4:F267,A11,'RAW DATA'!C4:C267,"Import",'RAW DATA'!B4:B267,2024)</f>
        <v>3420</v>
      </c>
      <c r="J11" s="55">
        <f t="shared" si="3"/>
        <v>2480</v>
      </c>
      <c r="K11" s="36">
        <f>IFERROR(SUMIFS('RAW DATA'!H4:H267,'RAW DATA'!F4:F267,A11,'RAW DATA'!C4:C267,"Export",'RAW DATA'!B4:B267,2024)/SUMIFS('RAW DATA'!H4:H267,'RAW DATA'!F4:F267,A11,'RAW DATA'!C4:C267,"Export",'RAW DATA'!B4:B267,2019)-1,0)</f>
        <v>0.75595238095238093</v>
      </c>
      <c r="L11" s="63" t="s">
        <v>503</v>
      </c>
    </row>
    <row r="12" spans="1:12" ht="15.75" customHeight="1" x14ac:dyDescent="0.25">
      <c r="A12" s="124" t="s">
        <v>78</v>
      </c>
      <c r="B12" s="124"/>
      <c r="C12" s="55">
        <f>SUMIFS('RAW DATA'!H4:H267,'RAW DATA'!F4:F267,A12,'RAW DATA'!C4:C267,"Export")</f>
        <v>16356</v>
      </c>
      <c r="D12" s="55">
        <f>SUMIFS('RAW DATA'!H4:H267,'RAW DATA'!F4:F267,A12,'RAW DATA'!C4:C267,"Import")</f>
        <v>0</v>
      </c>
      <c r="E12" s="62">
        <f t="shared" si="0"/>
        <v>16356</v>
      </c>
      <c r="F12" s="36">
        <f t="shared" si="1"/>
        <v>1</v>
      </c>
      <c r="G12" s="35" t="str">
        <f t="shared" si="2"/>
        <v>✅ Surplus</v>
      </c>
      <c r="H12" s="55">
        <f>SUMIFS('RAW DATA'!H4:H267,'RAW DATA'!F4:F267,A12,'RAW DATA'!C4:C267,"Export",'RAW DATA'!B4:B267,2024)</f>
        <v>2984</v>
      </c>
      <c r="I12" s="55">
        <f>SUMIFS('RAW DATA'!H4:H267,'RAW DATA'!F4:F267,A12,'RAW DATA'!C4:C267,"Import",'RAW DATA'!B4:B267,2024)</f>
        <v>0</v>
      </c>
      <c r="J12" s="55">
        <f t="shared" si="3"/>
        <v>2984</v>
      </c>
      <c r="K12" s="36">
        <f>IFERROR(SUMIFS('RAW DATA'!H4:H267,'RAW DATA'!F4:F267,A12,'RAW DATA'!C4:C267,"Export",'RAW DATA'!B4:B267,2024)/SUMIFS('RAW DATA'!H4:H267,'RAW DATA'!F4:F267,A12,'RAW DATA'!C4:C267,"Export",'RAW DATA'!B4:B267,2019)-1,0)</f>
        <v>0.24126455906821964</v>
      </c>
      <c r="L12" s="1" t="s">
        <v>507</v>
      </c>
    </row>
    <row r="13" spans="1:12" ht="15.75" customHeight="1" x14ac:dyDescent="0.25">
      <c r="A13" s="123" t="s">
        <v>93</v>
      </c>
      <c r="B13" s="123"/>
      <c r="C13" s="55">
        <f>SUMIFS('RAW DATA'!H4:H267,'RAW DATA'!F4:F267,A13,'RAW DATA'!C4:C267,"Export")</f>
        <v>6090</v>
      </c>
      <c r="D13" s="55">
        <f>SUMIFS('RAW DATA'!H4:H267,'RAW DATA'!F4:F267,A13,'RAW DATA'!C4:C267,"Import")</f>
        <v>11640</v>
      </c>
      <c r="E13" s="62">
        <f t="shared" si="0"/>
        <v>-5550</v>
      </c>
      <c r="F13" s="36">
        <f t="shared" si="1"/>
        <v>-0.31302876480541453</v>
      </c>
      <c r="G13" s="35" t="str">
        <f t="shared" si="2"/>
        <v>🔴 Deficit</v>
      </c>
      <c r="H13" s="55">
        <f>SUMIFS('RAW DATA'!H4:H267,'RAW DATA'!F4:F267,A13,'RAW DATA'!C4:C267,"Export",'RAW DATA'!B4:B267,2024)</f>
        <v>1120</v>
      </c>
      <c r="I13" s="55">
        <f>SUMIFS('RAW DATA'!H4:H267,'RAW DATA'!F4:F267,A13,'RAW DATA'!C4:C267,"Import",'RAW DATA'!B4:B267,2024)</f>
        <v>2240</v>
      </c>
      <c r="J13" s="55">
        <f t="shared" si="3"/>
        <v>-1120</v>
      </c>
      <c r="K13" s="36">
        <f>IFERROR(SUMIFS('RAW DATA'!H4:H267,'RAW DATA'!F4:F267,A13,'RAW DATA'!C4:C267,"Export",'RAW DATA'!B4:B267,2024)/SUMIFS('RAW DATA'!H4:H267,'RAW DATA'!F4:F267,A13,'RAW DATA'!C4:C267,"Export",'RAW DATA'!B4:B267,2019)-1,0)</f>
        <v>0.21739130434782616</v>
      </c>
      <c r="L13" s="63" t="s">
        <v>508</v>
      </c>
    </row>
    <row r="14" spans="1:12" ht="15.75" customHeight="1" x14ac:dyDescent="0.25">
      <c r="A14" s="124" t="s">
        <v>266</v>
      </c>
      <c r="B14" s="124"/>
      <c r="C14" s="55">
        <f>SUMIFS('RAW DATA'!H4:H267,'RAW DATA'!F4:F267,A14,'RAW DATA'!C4:C267,"Export")</f>
        <v>0</v>
      </c>
      <c r="D14" s="55">
        <f>SUMIFS('RAW DATA'!H4:H267,'RAW DATA'!F4:F267,A14,'RAW DATA'!C4:C267,"Import")</f>
        <v>16780</v>
      </c>
      <c r="E14" s="62">
        <f t="shared" si="0"/>
        <v>-16780</v>
      </c>
      <c r="F14" s="36">
        <f t="shared" si="1"/>
        <v>-1</v>
      </c>
      <c r="G14" s="35" t="str">
        <f t="shared" si="2"/>
        <v>🔴 Deficit</v>
      </c>
      <c r="H14" s="55">
        <f>SUMIFS('RAW DATA'!H4:H267,'RAW DATA'!F4:F267,A14,'RAW DATA'!C4:C267,"Export",'RAW DATA'!B4:B267,2024)</f>
        <v>0</v>
      </c>
      <c r="I14" s="55">
        <f>SUMIFS('RAW DATA'!H4:H267,'RAW DATA'!F4:F267,A14,'RAW DATA'!C4:C267,"Import",'RAW DATA'!B4:B267,2024)</f>
        <v>3280</v>
      </c>
      <c r="J14" s="55">
        <f t="shared" si="3"/>
        <v>-3280</v>
      </c>
      <c r="K14" s="36">
        <f>IFERROR(SUMIFS('RAW DATA'!H4:H267,'RAW DATA'!F4:F267,A14,'RAW DATA'!C4:C267,"Export",'RAW DATA'!B4:B267,2024)/SUMIFS('RAW DATA'!H4:H267,'RAW DATA'!F4:F267,A14,'RAW DATA'!C4:C267,"Export",'RAW DATA'!B4:B267,2019)-1,0)</f>
        <v>0</v>
      </c>
      <c r="L14" s="1" t="s">
        <v>509</v>
      </c>
    </row>
    <row r="15" spans="1:12" ht="15.75" customHeight="1" x14ac:dyDescent="0.25">
      <c r="A15" s="123" t="s">
        <v>86</v>
      </c>
      <c r="B15" s="123"/>
      <c r="C15" s="55">
        <f>SUMIFS('RAW DATA'!H4:H267,'RAW DATA'!F4:F267,A15,'RAW DATA'!C4:C267,"Export")</f>
        <v>12260</v>
      </c>
      <c r="D15" s="55">
        <f>SUMIFS('RAW DATA'!H4:H267,'RAW DATA'!F4:F267,A15,'RAW DATA'!C4:C267,"Import")</f>
        <v>0</v>
      </c>
      <c r="E15" s="62">
        <f t="shared" si="0"/>
        <v>12260</v>
      </c>
      <c r="F15" s="36">
        <f t="shared" si="1"/>
        <v>1</v>
      </c>
      <c r="G15" s="35" t="str">
        <f t="shared" si="2"/>
        <v>✅ Surplus</v>
      </c>
      <c r="H15" s="55">
        <f>SUMIFS('RAW DATA'!H4:H267,'RAW DATA'!F4:F267,A15,'RAW DATA'!C4:C267,"Export",'RAW DATA'!B4:B267,2024)</f>
        <v>2240</v>
      </c>
      <c r="I15" s="55">
        <f>SUMIFS('RAW DATA'!H4:H267,'RAW DATA'!F4:F267,A15,'RAW DATA'!C4:C267,"Import",'RAW DATA'!B4:B267,2024)</f>
        <v>0</v>
      </c>
      <c r="J15" s="55">
        <f t="shared" si="3"/>
        <v>2240</v>
      </c>
      <c r="K15" s="36">
        <f>IFERROR(SUMIFS('RAW DATA'!H4:H267,'RAW DATA'!F4:F267,A15,'RAW DATA'!C4:C267,"Export",'RAW DATA'!B4:B267,2024)/SUMIFS('RAW DATA'!H4:H267,'RAW DATA'!F4:F267,A15,'RAW DATA'!C4:C267,"Export",'RAW DATA'!B4:B267,2019)-1,0)</f>
        <v>0.21739130434782616</v>
      </c>
      <c r="L15" s="63" t="s">
        <v>60</v>
      </c>
    </row>
    <row r="16" spans="1:12" ht="15.75" customHeight="1" x14ac:dyDescent="0.25">
      <c r="A16" s="124" t="s">
        <v>129</v>
      </c>
      <c r="B16" s="124"/>
      <c r="C16" s="55">
        <f>SUMIFS('RAW DATA'!H4:H267,'RAW DATA'!F4:F267,A16,'RAW DATA'!C4:C267,"Export")</f>
        <v>9800</v>
      </c>
      <c r="D16" s="55">
        <f>SUMIFS('RAW DATA'!H4:H267,'RAW DATA'!F4:F267,A16,'RAW DATA'!C4:C267,"Import")</f>
        <v>0</v>
      </c>
      <c r="E16" s="62">
        <f t="shared" si="0"/>
        <v>9800</v>
      </c>
      <c r="F16" s="36">
        <f t="shared" si="1"/>
        <v>1</v>
      </c>
      <c r="G16" s="35" t="str">
        <f t="shared" si="2"/>
        <v>✅ Surplus</v>
      </c>
      <c r="H16" s="55">
        <f>SUMIFS('RAW DATA'!H4:H267,'RAW DATA'!F4:F267,A16,'RAW DATA'!C4:C267,"Export",'RAW DATA'!B4:B267,2024)</f>
        <v>1640</v>
      </c>
      <c r="I16" s="55">
        <f>SUMIFS('RAW DATA'!H4:H267,'RAW DATA'!F4:F267,A16,'RAW DATA'!C4:C267,"Import",'RAW DATA'!B4:B267,2024)</f>
        <v>0</v>
      </c>
      <c r="J16" s="55">
        <f t="shared" si="3"/>
        <v>1640</v>
      </c>
      <c r="K16" s="36">
        <f>IFERROR(SUMIFS('RAW DATA'!H4:H267,'RAW DATA'!F4:F267,A16,'RAW DATA'!C4:C267,"Export",'RAW DATA'!B4:B267,2024)/SUMIFS('RAW DATA'!H4:H267,'RAW DATA'!F4:F267,A16,'RAW DATA'!C4:C267,"Export",'RAW DATA'!B4:B267,2019)-1,0)</f>
        <v>0.34426229508196715</v>
      </c>
      <c r="L16" s="1" t="s">
        <v>101</v>
      </c>
    </row>
    <row r="17" spans="1:12" ht="15.75" customHeight="1" x14ac:dyDescent="0.25">
      <c r="A17" s="123" t="s">
        <v>328</v>
      </c>
      <c r="B17" s="123"/>
      <c r="C17" s="55">
        <f>SUMIFS('RAW DATA'!H4:H267,'RAW DATA'!F4:F267,A17,'RAW DATA'!C4:C267,"Export")</f>
        <v>0</v>
      </c>
      <c r="D17" s="55">
        <f>SUMIFS('RAW DATA'!H4:H267,'RAW DATA'!F4:F267,A17,'RAW DATA'!C4:C267,"Import")</f>
        <v>7150</v>
      </c>
      <c r="E17" s="62">
        <f t="shared" si="0"/>
        <v>-7150</v>
      </c>
      <c r="F17" s="36">
        <f t="shared" si="1"/>
        <v>-1</v>
      </c>
      <c r="G17" s="35" t="str">
        <f t="shared" si="2"/>
        <v>🔴 Deficit</v>
      </c>
      <c r="H17" s="55">
        <f>SUMIFS('RAW DATA'!H4:H267,'RAW DATA'!F4:F267,A17,'RAW DATA'!C4:C267,"Export",'RAW DATA'!B4:B267,2024)</f>
        <v>0</v>
      </c>
      <c r="I17" s="55">
        <f>SUMIFS('RAW DATA'!H4:H267,'RAW DATA'!F4:F267,A17,'RAW DATA'!C4:C267,"Import",'RAW DATA'!B4:B267,2024)</f>
        <v>1260</v>
      </c>
      <c r="J17" s="55">
        <f t="shared" si="3"/>
        <v>-1260</v>
      </c>
      <c r="K17" s="36">
        <f>IFERROR(SUMIFS('RAW DATA'!H4:H267,'RAW DATA'!F4:F267,A17,'RAW DATA'!C4:C267,"Export",'RAW DATA'!B4:B267,2024)/SUMIFS('RAW DATA'!H4:H267,'RAW DATA'!F4:F267,A17,'RAW DATA'!C4:C267,"Export",'RAW DATA'!B4:B267,2019)-1,0)</f>
        <v>0</v>
      </c>
      <c r="L17" s="63" t="s">
        <v>326</v>
      </c>
    </row>
    <row r="18" spans="1:12" ht="15.75" customHeight="1" x14ac:dyDescent="0.25">
      <c r="A18" s="124" t="s">
        <v>336</v>
      </c>
      <c r="B18" s="124"/>
      <c r="C18" s="55">
        <f>SUMIFS('RAW DATA'!H4:H267,'RAW DATA'!F4:F267,A18,'RAW DATA'!C4:C267,"Export")</f>
        <v>0</v>
      </c>
      <c r="D18" s="55">
        <f>SUMIFS('RAW DATA'!H4:H267,'RAW DATA'!F4:F267,A18,'RAW DATA'!C4:C267,"Import")</f>
        <v>4810</v>
      </c>
      <c r="E18" s="62">
        <f t="shared" si="0"/>
        <v>-4810</v>
      </c>
      <c r="F18" s="36">
        <f t="shared" si="1"/>
        <v>-1</v>
      </c>
      <c r="G18" s="35" t="str">
        <f t="shared" si="2"/>
        <v>🔴 Deficit</v>
      </c>
      <c r="H18" s="55">
        <f>SUMIFS('RAW DATA'!H4:H267,'RAW DATA'!F4:F267,A18,'RAW DATA'!C4:C267,"Export",'RAW DATA'!B4:B267,2024)</f>
        <v>0</v>
      </c>
      <c r="I18" s="55">
        <f>SUMIFS('RAW DATA'!H4:H267,'RAW DATA'!F4:F267,A18,'RAW DATA'!C4:C267,"Import",'RAW DATA'!B4:B267,2024)</f>
        <v>860</v>
      </c>
      <c r="J18" s="55">
        <f t="shared" si="3"/>
        <v>-860</v>
      </c>
      <c r="K18" s="36">
        <f>IFERROR(SUMIFS('RAW DATA'!H4:H267,'RAW DATA'!F4:F267,A18,'RAW DATA'!C4:C267,"Export",'RAW DATA'!B4:B267,2024)/SUMIFS('RAW DATA'!H4:H267,'RAW DATA'!F4:F267,A18,'RAW DATA'!C4:C267,"Export",'RAW DATA'!B4:B267,2019)-1,0)</f>
        <v>0</v>
      </c>
      <c r="L18" s="1" t="s">
        <v>326</v>
      </c>
    </row>
    <row r="19" spans="1:12" ht="15.75" customHeight="1" x14ac:dyDescent="0.25">
      <c r="A19" s="123" t="s">
        <v>298</v>
      </c>
      <c r="B19" s="123"/>
      <c r="C19" s="55">
        <f>SUMIFS('RAW DATA'!H4:H267,'RAW DATA'!F4:F267,A19,'RAW DATA'!C4:C267,"Export")</f>
        <v>0</v>
      </c>
      <c r="D19" s="55">
        <f>SUMIFS('RAW DATA'!H4:H267,'RAW DATA'!F4:F267,A19,'RAW DATA'!C4:C267,"Import")</f>
        <v>8940</v>
      </c>
      <c r="E19" s="62">
        <f t="shared" si="0"/>
        <v>-8940</v>
      </c>
      <c r="F19" s="36">
        <f t="shared" si="1"/>
        <v>-1</v>
      </c>
      <c r="G19" s="35" t="str">
        <f t="shared" si="2"/>
        <v>🔴 Deficit</v>
      </c>
      <c r="H19" s="55">
        <f>SUMIFS('RAW DATA'!H4:H267,'RAW DATA'!F4:F267,A19,'RAW DATA'!C4:C267,"Export",'RAW DATA'!B4:B267,2024)</f>
        <v>0</v>
      </c>
      <c r="I19" s="55">
        <f>SUMIFS('RAW DATA'!H4:H267,'RAW DATA'!F4:F267,A19,'RAW DATA'!C4:C267,"Import",'RAW DATA'!B4:B267,2024)</f>
        <v>1740</v>
      </c>
      <c r="J19" s="55">
        <f t="shared" si="3"/>
        <v>-1740</v>
      </c>
      <c r="K19" s="36">
        <f>IFERROR(SUMIFS('RAW DATA'!H4:H267,'RAW DATA'!F4:F267,A19,'RAW DATA'!C4:C267,"Export",'RAW DATA'!B4:B267,2024)/SUMIFS('RAW DATA'!H4:H267,'RAW DATA'!F4:F267,A19,'RAW DATA'!C4:C267,"Export",'RAW DATA'!B4:B267,2019)-1,0)</f>
        <v>0</v>
      </c>
      <c r="L19" s="63" t="s">
        <v>285</v>
      </c>
    </row>
    <row r="20" spans="1:12" ht="15.75" customHeight="1" x14ac:dyDescent="0.25">
      <c r="A20" s="124" t="s">
        <v>343</v>
      </c>
      <c r="B20" s="124"/>
      <c r="C20" s="55">
        <f>SUMIFS('RAW DATA'!H4:H267,'RAW DATA'!F4:F267,A20,'RAW DATA'!C4:C267,"Export")</f>
        <v>0</v>
      </c>
      <c r="D20" s="55">
        <f>SUMIFS('RAW DATA'!H4:H267,'RAW DATA'!F4:F267,A20,'RAW DATA'!C4:C267,"Import")</f>
        <v>2210</v>
      </c>
      <c r="E20" s="62">
        <f t="shared" si="0"/>
        <v>-2210</v>
      </c>
      <c r="F20" s="36">
        <f t="shared" si="1"/>
        <v>-1</v>
      </c>
      <c r="G20" s="35" t="str">
        <f t="shared" si="2"/>
        <v>🔴 Deficit</v>
      </c>
      <c r="H20" s="55">
        <f>SUMIFS('RAW DATA'!H4:H267,'RAW DATA'!F4:F267,A20,'RAW DATA'!C4:C267,"Export",'RAW DATA'!B4:B267,2024)</f>
        <v>0</v>
      </c>
      <c r="I20" s="55">
        <f>SUMIFS('RAW DATA'!H4:H267,'RAW DATA'!F4:F267,A20,'RAW DATA'!C4:C267,"Import",'RAW DATA'!B4:B267,2024)</f>
        <v>390</v>
      </c>
      <c r="J20" s="55">
        <f t="shared" si="3"/>
        <v>-390</v>
      </c>
      <c r="K20" s="36">
        <f>IFERROR(SUMIFS('RAW DATA'!H4:H267,'RAW DATA'!F4:F267,A20,'RAW DATA'!C4:C267,"Export",'RAW DATA'!B4:B267,2024)/SUMIFS('RAW DATA'!H4:H267,'RAW DATA'!F4:F267,A20,'RAW DATA'!C4:C267,"Export",'RAW DATA'!B4:B267,2019)-1,0)</f>
        <v>0</v>
      </c>
      <c r="L20" s="1" t="s">
        <v>326</v>
      </c>
    </row>
    <row r="21" spans="1:12" ht="18" customHeight="1" x14ac:dyDescent="0.25">
      <c r="A21" s="129" t="s">
        <v>510</v>
      </c>
      <c r="B21" s="129"/>
      <c r="C21" s="54">
        <f>SUM(C6:C20)</f>
        <v>379518</v>
      </c>
      <c r="D21" s="54">
        <f>SUM(D6:D20)</f>
        <v>273070</v>
      </c>
      <c r="E21" s="54">
        <f>SUM(E6:E20)</f>
        <v>106448</v>
      </c>
    </row>
    <row r="23" spans="1:12" ht="36" customHeight="1" x14ac:dyDescent="0.25">
      <c r="A23" s="125" t="s">
        <v>511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</row>
  </sheetData>
  <mergeCells count="20">
    <mergeCell ref="A18:B18"/>
    <mergeCell ref="A19:B19"/>
    <mergeCell ref="A20:B20"/>
    <mergeCell ref="A21:B21"/>
    <mergeCell ref="A23:L23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:L1"/>
    <mergeCell ref="A2:L2"/>
    <mergeCell ref="A4:L4"/>
    <mergeCell ref="A6:B6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8952A"/>
  </sheetPr>
  <dimension ref="A1:J34"/>
  <sheetViews>
    <sheetView showGridLines="0" topLeftCell="A67" zoomScaleNormal="100" workbookViewId="0">
      <selection activeCell="Q5" sqref="Q5"/>
    </sheetView>
  </sheetViews>
  <sheetFormatPr defaultColWidth="8.7109375" defaultRowHeight="15" x14ac:dyDescent="0.25"/>
  <cols>
    <col min="1" max="1" width="6" customWidth="1"/>
    <col min="2" max="2" width="18" customWidth="1"/>
    <col min="3" max="9" width="10" customWidth="1"/>
    <col min="10" max="10" width="20" customWidth="1"/>
  </cols>
  <sheetData>
    <row r="1" spans="1:10" ht="30" customHeight="1" x14ac:dyDescent="0.25">
      <c r="A1" s="130" t="s">
        <v>512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19.5" customHeight="1" x14ac:dyDescent="0.25">
      <c r="A2" s="118"/>
      <c r="B2" s="118"/>
      <c r="C2" s="118"/>
      <c r="D2" s="118"/>
      <c r="E2" s="118"/>
      <c r="F2" s="118"/>
      <c r="G2" s="118"/>
      <c r="H2" s="118"/>
      <c r="I2" s="118"/>
      <c r="J2" s="118"/>
    </row>
    <row r="4" spans="1:10" ht="24" customHeight="1" x14ac:dyDescent="0.25">
      <c r="A4" s="131" t="s">
        <v>513</v>
      </c>
      <c r="B4" s="131"/>
      <c r="C4" s="131"/>
      <c r="D4" s="131"/>
      <c r="E4" s="131"/>
      <c r="F4" s="131"/>
      <c r="G4" s="131"/>
      <c r="H4" s="131"/>
      <c r="I4" s="131"/>
      <c r="J4" s="131"/>
    </row>
    <row r="5" spans="1:10" ht="51.75" customHeight="1" x14ac:dyDescent="0.25">
      <c r="A5" s="132" t="s">
        <v>514</v>
      </c>
      <c r="B5" s="132"/>
      <c r="C5" s="120" t="s">
        <v>515</v>
      </c>
      <c r="D5" s="120"/>
      <c r="E5" s="120"/>
      <c r="F5" s="120"/>
      <c r="G5" s="120"/>
      <c r="H5" s="120"/>
      <c r="I5" s="120"/>
      <c r="J5" s="120"/>
    </row>
    <row r="6" spans="1:10" ht="51.75" customHeight="1" x14ac:dyDescent="0.25">
      <c r="A6" s="133" t="s">
        <v>516</v>
      </c>
      <c r="B6" s="133"/>
      <c r="C6" s="112" t="s">
        <v>517</v>
      </c>
      <c r="D6" s="112"/>
      <c r="E6" s="112"/>
      <c r="F6" s="112"/>
      <c r="G6" s="112"/>
      <c r="H6" s="112"/>
      <c r="I6" s="112"/>
      <c r="J6" s="112"/>
    </row>
    <row r="7" spans="1:10" ht="51.75" customHeight="1" x14ac:dyDescent="0.25">
      <c r="A7" s="134" t="s">
        <v>518</v>
      </c>
      <c r="B7" s="134"/>
      <c r="C7" s="114" t="s">
        <v>519</v>
      </c>
      <c r="D7" s="114"/>
      <c r="E7" s="114"/>
      <c r="F7" s="114"/>
      <c r="G7" s="114"/>
      <c r="H7" s="114"/>
      <c r="I7" s="114"/>
      <c r="J7" s="114"/>
    </row>
    <row r="13" spans="1:10" ht="24" customHeight="1" x14ac:dyDescent="0.25">
      <c r="A13" s="135" t="s">
        <v>520</v>
      </c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ht="51.75" customHeight="1" x14ac:dyDescent="0.25">
      <c r="A14" s="136" t="s">
        <v>514</v>
      </c>
      <c r="B14" s="136"/>
      <c r="C14" s="120" t="s">
        <v>521</v>
      </c>
      <c r="D14" s="120"/>
      <c r="E14" s="120"/>
      <c r="F14" s="120"/>
      <c r="G14" s="120"/>
      <c r="H14" s="120"/>
      <c r="I14" s="120"/>
      <c r="J14" s="120"/>
    </row>
    <row r="15" spans="1:10" ht="51.75" customHeight="1" x14ac:dyDescent="0.25">
      <c r="A15" s="137" t="s">
        <v>516</v>
      </c>
      <c r="B15" s="137"/>
      <c r="C15" s="112" t="s">
        <v>522</v>
      </c>
      <c r="D15" s="112"/>
      <c r="E15" s="112"/>
      <c r="F15" s="112"/>
      <c r="G15" s="112"/>
      <c r="H15" s="112"/>
      <c r="I15" s="112"/>
      <c r="J15" s="112"/>
    </row>
    <row r="16" spans="1:10" ht="51.75" customHeight="1" x14ac:dyDescent="0.25">
      <c r="A16" s="138" t="s">
        <v>518</v>
      </c>
      <c r="B16" s="138"/>
      <c r="C16" s="114" t="s">
        <v>523</v>
      </c>
      <c r="D16" s="114"/>
      <c r="E16" s="114"/>
      <c r="F16" s="114"/>
      <c r="G16" s="114"/>
      <c r="H16" s="114"/>
      <c r="I16" s="114"/>
      <c r="J16" s="114"/>
    </row>
    <row r="22" spans="1:10" ht="24" customHeight="1" x14ac:dyDescent="0.25">
      <c r="A22" s="139" t="s">
        <v>524</v>
      </c>
      <c r="B22" s="139"/>
      <c r="C22" s="139"/>
      <c r="D22" s="139"/>
      <c r="E22" s="139"/>
      <c r="F22" s="139"/>
      <c r="G22" s="139"/>
      <c r="H22" s="139"/>
      <c r="I22" s="139"/>
      <c r="J22" s="139"/>
    </row>
    <row r="23" spans="1:10" ht="51.75" customHeight="1" x14ac:dyDescent="0.25">
      <c r="A23" s="140" t="s">
        <v>514</v>
      </c>
      <c r="B23" s="140"/>
      <c r="C23" s="120" t="s">
        <v>525</v>
      </c>
      <c r="D23" s="120"/>
      <c r="E23" s="120"/>
      <c r="F23" s="120"/>
      <c r="G23" s="120"/>
      <c r="H23" s="120"/>
      <c r="I23" s="120"/>
      <c r="J23" s="120"/>
    </row>
    <row r="24" spans="1:10" ht="51.75" customHeight="1" x14ac:dyDescent="0.25">
      <c r="A24" s="141" t="s">
        <v>516</v>
      </c>
      <c r="B24" s="141"/>
      <c r="C24" s="112" t="s">
        <v>526</v>
      </c>
      <c r="D24" s="112"/>
      <c r="E24" s="112"/>
      <c r="F24" s="112"/>
      <c r="G24" s="112"/>
      <c r="H24" s="112"/>
      <c r="I24" s="112"/>
      <c r="J24" s="112"/>
    </row>
    <row r="25" spans="1:10" ht="51.75" customHeight="1" x14ac:dyDescent="0.25">
      <c r="A25" s="144" t="s">
        <v>518</v>
      </c>
      <c r="B25" s="144"/>
      <c r="C25" s="114" t="s">
        <v>527</v>
      </c>
      <c r="D25" s="114"/>
      <c r="E25" s="114"/>
      <c r="F25" s="114"/>
      <c r="G25" s="114"/>
      <c r="H25" s="114"/>
      <c r="I25" s="114"/>
      <c r="J25" s="114"/>
    </row>
    <row r="31" spans="1:10" ht="24" customHeight="1" x14ac:dyDescent="0.25">
      <c r="A31" s="145" t="s">
        <v>528</v>
      </c>
      <c r="B31" s="145"/>
      <c r="C31" s="145"/>
      <c r="D31" s="145"/>
      <c r="E31" s="145"/>
      <c r="F31" s="145"/>
      <c r="G31" s="145"/>
      <c r="H31" s="145"/>
      <c r="I31" s="145"/>
      <c r="J31" s="145"/>
    </row>
    <row r="32" spans="1:10" ht="51.75" customHeight="1" x14ac:dyDescent="0.25">
      <c r="A32" s="146" t="s">
        <v>514</v>
      </c>
      <c r="B32" s="146"/>
      <c r="C32" s="120" t="s">
        <v>529</v>
      </c>
      <c r="D32" s="120"/>
      <c r="E32" s="120"/>
      <c r="F32" s="120"/>
      <c r="G32" s="120"/>
      <c r="H32" s="120"/>
      <c r="I32" s="120"/>
      <c r="J32" s="120"/>
    </row>
    <row r="33" spans="1:10" ht="51.75" customHeight="1" x14ac:dyDescent="0.25">
      <c r="A33" s="142" t="s">
        <v>516</v>
      </c>
      <c r="B33" s="142"/>
      <c r="C33" s="112" t="s">
        <v>530</v>
      </c>
      <c r="D33" s="112"/>
      <c r="E33" s="112"/>
      <c r="F33" s="112"/>
      <c r="G33" s="112"/>
      <c r="H33" s="112"/>
      <c r="I33" s="112"/>
      <c r="J33" s="112"/>
    </row>
    <row r="34" spans="1:10" ht="51.75" customHeight="1" x14ac:dyDescent="0.25">
      <c r="A34" s="143" t="s">
        <v>518</v>
      </c>
      <c r="B34" s="143"/>
      <c r="C34" s="114" t="s">
        <v>531</v>
      </c>
      <c r="D34" s="114"/>
      <c r="E34" s="114"/>
      <c r="F34" s="114"/>
      <c r="G34" s="114"/>
      <c r="H34" s="114"/>
      <c r="I34" s="114"/>
      <c r="J34" s="114"/>
    </row>
  </sheetData>
  <mergeCells count="30">
    <mergeCell ref="A33:B33"/>
    <mergeCell ref="C33:J33"/>
    <mergeCell ref="A34:B34"/>
    <mergeCell ref="C34:J34"/>
    <mergeCell ref="A25:B25"/>
    <mergeCell ref="C25:J25"/>
    <mergeCell ref="A31:J31"/>
    <mergeCell ref="A32:B32"/>
    <mergeCell ref="C32:J32"/>
    <mergeCell ref="A22:J22"/>
    <mergeCell ref="A23:B23"/>
    <mergeCell ref="C23:J23"/>
    <mergeCell ref="A24:B24"/>
    <mergeCell ref="C24:J24"/>
    <mergeCell ref="A14:B14"/>
    <mergeCell ref="C14:J14"/>
    <mergeCell ref="A15:B15"/>
    <mergeCell ref="C15:J15"/>
    <mergeCell ref="A16:B16"/>
    <mergeCell ref="C16:J16"/>
    <mergeCell ref="A6:B6"/>
    <mergeCell ref="C6:J6"/>
    <mergeCell ref="A7:B7"/>
    <mergeCell ref="C7:J7"/>
    <mergeCell ref="A13:J13"/>
    <mergeCell ref="A1:J1"/>
    <mergeCell ref="A2:J2"/>
    <mergeCell ref="A4:J4"/>
    <mergeCell ref="A5:B5"/>
    <mergeCell ref="C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K267"/>
  <sheetViews>
    <sheetView showGridLines="0" zoomScaleNormal="100" workbookViewId="0">
      <pane ySplit="3" topLeftCell="A230" activePane="bottomLeft" state="frozen"/>
      <selection pane="bottomLeft" activeCell="P258" sqref="P258"/>
    </sheetView>
  </sheetViews>
  <sheetFormatPr defaultColWidth="8.7109375" defaultRowHeight="15" x14ac:dyDescent="0.25"/>
  <cols>
    <col min="1" max="1" width="9.42578125" bestFit="1" customWidth="1"/>
    <col min="2" max="2" width="5" bestFit="1" customWidth="1"/>
    <col min="3" max="3" width="10.5703125" bestFit="1" customWidth="1"/>
    <col min="4" max="4" width="16.7109375" bestFit="1" customWidth="1"/>
    <col min="5" max="5" width="8.42578125" bestFit="1" customWidth="1"/>
    <col min="6" max="6" width="14.42578125" bestFit="1" customWidth="1"/>
    <col min="7" max="7" width="12.85546875" bestFit="1" customWidth="1"/>
    <col min="8" max="8" width="18.42578125" bestFit="1" customWidth="1"/>
    <col min="9" max="9" width="11.5703125" bestFit="1" customWidth="1"/>
    <col min="10" max="10" width="17.5703125" bestFit="1" customWidth="1"/>
    <col min="11" max="11" width="14" bestFit="1" customWidth="1"/>
  </cols>
  <sheetData>
    <row r="1" spans="1:11" ht="27.75" customHeight="1" x14ac:dyDescent="0.25">
      <c r="A1" s="117" t="s">
        <v>46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18" customHeight="1" x14ac:dyDescent="0.25">
      <c r="A2" s="97" t="s">
        <v>532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ht="19.5" customHeight="1" x14ac:dyDescent="0.25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5" t="s">
        <v>57</v>
      </c>
    </row>
    <row r="4" spans="1:11" ht="13.5" customHeight="1" x14ac:dyDescent="0.25">
      <c r="A4" s="7" t="s">
        <v>58</v>
      </c>
      <c r="B4" s="7">
        <v>2019</v>
      </c>
      <c r="C4" s="8" t="s">
        <v>59</v>
      </c>
      <c r="D4" s="9" t="s">
        <v>60</v>
      </c>
      <c r="E4" s="7" t="s">
        <v>42</v>
      </c>
      <c r="F4" s="9" t="s">
        <v>61</v>
      </c>
      <c r="G4" s="9" t="s">
        <v>62</v>
      </c>
      <c r="H4" s="10">
        <v>4820</v>
      </c>
      <c r="I4" s="10">
        <v>6713.1</v>
      </c>
      <c r="J4" s="11">
        <v>718</v>
      </c>
      <c r="K4" s="9" t="s">
        <v>63</v>
      </c>
    </row>
    <row r="5" spans="1:11" ht="13.5" customHeight="1" x14ac:dyDescent="0.25">
      <c r="A5" s="12" t="s">
        <v>64</v>
      </c>
      <c r="B5" s="12">
        <v>2020</v>
      </c>
      <c r="C5" s="13" t="s">
        <v>59</v>
      </c>
      <c r="D5" s="14" t="s">
        <v>60</v>
      </c>
      <c r="E5" s="12" t="s">
        <v>42</v>
      </c>
      <c r="F5" s="14" t="s">
        <v>61</v>
      </c>
      <c r="G5" s="14" t="s">
        <v>62</v>
      </c>
      <c r="H5" s="15">
        <v>4150</v>
      </c>
      <c r="I5" s="15">
        <v>5677.2</v>
      </c>
      <c r="J5" s="16">
        <v>731</v>
      </c>
      <c r="K5" s="14" t="s">
        <v>63</v>
      </c>
    </row>
    <row r="6" spans="1:11" ht="13.5" customHeight="1" x14ac:dyDescent="0.25">
      <c r="A6" s="7" t="s">
        <v>65</v>
      </c>
      <c r="B6" s="7">
        <v>2021</v>
      </c>
      <c r="C6" s="8" t="s">
        <v>59</v>
      </c>
      <c r="D6" s="9" t="s">
        <v>60</v>
      </c>
      <c r="E6" s="7" t="s">
        <v>42</v>
      </c>
      <c r="F6" s="9" t="s">
        <v>61</v>
      </c>
      <c r="G6" s="9" t="s">
        <v>62</v>
      </c>
      <c r="H6" s="10">
        <v>5280</v>
      </c>
      <c r="I6" s="10">
        <v>4808.7</v>
      </c>
      <c r="J6" s="11">
        <v>1098</v>
      </c>
      <c r="K6" s="9" t="s">
        <v>63</v>
      </c>
    </row>
    <row r="7" spans="1:11" ht="13.5" customHeight="1" x14ac:dyDescent="0.25">
      <c r="A7" s="12" t="s">
        <v>66</v>
      </c>
      <c r="B7" s="12">
        <v>2022</v>
      </c>
      <c r="C7" s="13" t="s">
        <v>59</v>
      </c>
      <c r="D7" s="14" t="s">
        <v>60</v>
      </c>
      <c r="E7" s="12" t="s">
        <v>42</v>
      </c>
      <c r="F7" s="14" t="s">
        <v>61</v>
      </c>
      <c r="G7" s="14" t="s">
        <v>62</v>
      </c>
      <c r="H7" s="15">
        <v>6850</v>
      </c>
      <c r="I7" s="15">
        <v>4823.8999999999996</v>
      </c>
      <c r="J7" s="16">
        <v>1420</v>
      </c>
      <c r="K7" s="14" t="s">
        <v>63</v>
      </c>
    </row>
    <row r="8" spans="1:11" ht="13.5" customHeight="1" x14ac:dyDescent="0.25">
      <c r="A8" s="7" t="s">
        <v>67</v>
      </c>
      <c r="B8" s="7">
        <v>2023</v>
      </c>
      <c r="C8" s="8" t="s">
        <v>59</v>
      </c>
      <c r="D8" s="9" t="s">
        <v>60</v>
      </c>
      <c r="E8" s="7" t="s">
        <v>42</v>
      </c>
      <c r="F8" s="9" t="s">
        <v>61</v>
      </c>
      <c r="G8" s="9" t="s">
        <v>62</v>
      </c>
      <c r="H8" s="10">
        <v>5940</v>
      </c>
      <c r="I8" s="10">
        <v>6456.5</v>
      </c>
      <c r="J8" s="11">
        <v>920</v>
      </c>
      <c r="K8" s="9" t="s">
        <v>63</v>
      </c>
    </row>
    <row r="9" spans="1:11" ht="13.5" customHeight="1" x14ac:dyDescent="0.25">
      <c r="A9" s="12" t="s">
        <v>68</v>
      </c>
      <c r="B9" s="12">
        <v>2024</v>
      </c>
      <c r="C9" s="13" t="s">
        <v>59</v>
      </c>
      <c r="D9" s="14" t="s">
        <v>60</v>
      </c>
      <c r="E9" s="12" t="s">
        <v>42</v>
      </c>
      <c r="F9" s="14" t="s">
        <v>61</v>
      </c>
      <c r="G9" s="14" t="s">
        <v>62</v>
      </c>
      <c r="H9" s="15">
        <v>6250</v>
      </c>
      <c r="I9" s="15">
        <v>7183.9</v>
      </c>
      <c r="J9" s="16">
        <v>870</v>
      </c>
      <c r="K9" s="14" t="s">
        <v>63</v>
      </c>
    </row>
    <row r="10" spans="1:11" ht="13.5" customHeight="1" x14ac:dyDescent="0.25">
      <c r="A10" s="7" t="s">
        <v>69</v>
      </c>
      <c r="B10" s="7">
        <v>2019</v>
      </c>
      <c r="C10" s="8" t="s">
        <v>59</v>
      </c>
      <c r="D10" s="9" t="s">
        <v>60</v>
      </c>
      <c r="E10" s="7" t="s">
        <v>42</v>
      </c>
      <c r="F10" s="9" t="s">
        <v>70</v>
      </c>
      <c r="G10" s="9" t="s">
        <v>71</v>
      </c>
      <c r="H10" s="10">
        <v>3240</v>
      </c>
      <c r="I10" s="10">
        <v>4512.5</v>
      </c>
      <c r="J10" s="11">
        <v>718</v>
      </c>
      <c r="K10" s="9" t="s">
        <v>63</v>
      </c>
    </row>
    <row r="11" spans="1:11" ht="13.5" customHeight="1" x14ac:dyDescent="0.25">
      <c r="A11" s="12" t="s">
        <v>72</v>
      </c>
      <c r="B11" s="12">
        <v>2020</v>
      </c>
      <c r="C11" s="13" t="s">
        <v>59</v>
      </c>
      <c r="D11" s="14" t="s">
        <v>60</v>
      </c>
      <c r="E11" s="12" t="s">
        <v>42</v>
      </c>
      <c r="F11" s="14" t="s">
        <v>70</v>
      </c>
      <c r="G11" s="14" t="s">
        <v>71</v>
      </c>
      <c r="H11" s="15">
        <v>2820</v>
      </c>
      <c r="I11" s="15">
        <v>3857.7</v>
      </c>
      <c r="J11" s="16">
        <v>731</v>
      </c>
      <c r="K11" s="14" t="s">
        <v>63</v>
      </c>
    </row>
    <row r="12" spans="1:11" ht="13.5" customHeight="1" x14ac:dyDescent="0.25">
      <c r="A12" s="7" t="s">
        <v>73</v>
      </c>
      <c r="B12" s="7">
        <v>2021</v>
      </c>
      <c r="C12" s="8" t="s">
        <v>59</v>
      </c>
      <c r="D12" s="9" t="s">
        <v>60</v>
      </c>
      <c r="E12" s="7" t="s">
        <v>42</v>
      </c>
      <c r="F12" s="9" t="s">
        <v>70</v>
      </c>
      <c r="G12" s="9" t="s">
        <v>71</v>
      </c>
      <c r="H12" s="10">
        <v>3640</v>
      </c>
      <c r="I12" s="10">
        <v>3315.1</v>
      </c>
      <c r="J12" s="11">
        <v>1098</v>
      </c>
      <c r="K12" s="9" t="s">
        <v>63</v>
      </c>
    </row>
    <row r="13" spans="1:11" ht="13.5" customHeight="1" x14ac:dyDescent="0.25">
      <c r="A13" s="12" t="s">
        <v>74</v>
      </c>
      <c r="B13" s="12">
        <v>2022</v>
      </c>
      <c r="C13" s="13" t="s">
        <v>59</v>
      </c>
      <c r="D13" s="14" t="s">
        <v>60</v>
      </c>
      <c r="E13" s="12" t="s">
        <v>42</v>
      </c>
      <c r="F13" s="14" t="s">
        <v>70</v>
      </c>
      <c r="G13" s="14" t="s">
        <v>71</v>
      </c>
      <c r="H13" s="15">
        <v>4520</v>
      </c>
      <c r="I13" s="15">
        <v>3183.1</v>
      </c>
      <c r="J13" s="16">
        <v>1420</v>
      </c>
      <c r="K13" s="14" t="s">
        <v>63</v>
      </c>
    </row>
    <row r="14" spans="1:11" ht="13.5" customHeight="1" x14ac:dyDescent="0.25">
      <c r="A14" s="7" t="s">
        <v>75</v>
      </c>
      <c r="B14" s="7">
        <v>2023</v>
      </c>
      <c r="C14" s="8" t="s">
        <v>59</v>
      </c>
      <c r="D14" s="9" t="s">
        <v>60</v>
      </c>
      <c r="E14" s="7" t="s">
        <v>42</v>
      </c>
      <c r="F14" s="9" t="s">
        <v>70</v>
      </c>
      <c r="G14" s="9" t="s">
        <v>71</v>
      </c>
      <c r="H14" s="10">
        <v>3940</v>
      </c>
      <c r="I14" s="10">
        <v>4282.6000000000004</v>
      </c>
      <c r="J14" s="11">
        <v>920</v>
      </c>
      <c r="K14" s="9" t="s">
        <v>63</v>
      </c>
    </row>
    <row r="15" spans="1:11" ht="13.5" customHeight="1" x14ac:dyDescent="0.25">
      <c r="A15" s="12" t="s">
        <v>76</v>
      </c>
      <c r="B15" s="12">
        <v>2024</v>
      </c>
      <c r="C15" s="13" t="s">
        <v>59</v>
      </c>
      <c r="D15" s="14" t="s">
        <v>60</v>
      </c>
      <c r="E15" s="12" t="s">
        <v>42</v>
      </c>
      <c r="F15" s="14" t="s">
        <v>70</v>
      </c>
      <c r="G15" s="14" t="s">
        <v>71</v>
      </c>
      <c r="H15" s="15">
        <v>4150</v>
      </c>
      <c r="I15" s="15">
        <v>4770.1000000000004</v>
      </c>
      <c r="J15" s="16">
        <v>870</v>
      </c>
      <c r="K15" s="14" t="s">
        <v>63</v>
      </c>
    </row>
    <row r="16" spans="1:11" ht="13.5" customHeight="1" x14ac:dyDescent="0.25">
      <c r="A16" s="7" t="s">
        <v>77</v>
      </c>
      <c r="B16" s="7">
        <v>2019</v>
      </c>
      <c r="C16" s="8" t="s">
        <v>59</v>
      </c>
      <c r="D16" s="9" t="s">
        <v>60</v>
      </c>
      <c r="E16" s="7" t="s">
        <v>42</v>
      </c>
      <c r="F16" s="9" t="s">
        <v>78</v>
      </c>
      <c r="G16" s="9" t="s">
        <v>79</v>
      </c>
      <c r="H16" s="10">
        <v>2120</v>
      </c>
      <c r="I16" s="10">
        <v>2952.6</v>
      </c>
      <c r="J16" s="11">
        <v>718</v>
      </c>
      <c r="K16" s="9" t="s">
        <v>63</v>
      </c>
    </row>
    <row r="17" spans="1:11" ht="13.5" customHeight="1" x14ac:dyDescent="0.25">
      <c r="A17" s="12" t="s">
        <v>80</v>
      </c>
      <c r="B17" s="12">
        <v>2020</v>
      </c>
      <c r="C17" s="13" t="s">
        <v>59</v>
      </c>
      <c r="D17" s="14" t="s">
        <v>60</v>
      </c>
      <c r="E17" s="12" t="s">
        <v>42</v>
      </c>
      <c r="F17" s="14" t="s">
        <v>78</v>
      </c>
      <c r="G17" s="14" t="s">
        <v>79</v>
      </c>
      <c r="H17" s="15">
        <v>1940</v>
      </c>
      <c r="I17" s="15">
        <v>2653.9</v>
      </c>
      <c r="J17" s="16">
        <v>731</v>
      </c>
      <c r="K17" s="14" t="s">
        <v>63</v>
      </c>
    </row>
    <row r="18" spans="1:11" ht="13.5" customHeight="1" x14ac:dyDescent="0.25">
      <c r="A18" s="7" t="s">
        <v>81</v>
      </c>
      <c r="B18" s="7">
        <v>2021</v>
      </c>
      <c r="C18" s="8" t="s">
        <v>59</v>
      </c>
      <c r="D18" s="9" t="s">
        <v>60</v>
      </c>
      <c r="E18" s="7" t="s">
        <v>42</v>
      </c>
      <c r="F18" s="9" t="s">
        <v>78</v>
      </c>
      <c r="G18" s="9" t="s">
        <v>79</v>
      </c>
      <c r="H18" s="10">
        <v>2240</v>
      </c>
      <c r="I18" s="10">
        <v>2040.1</v>
      </c>
      <c r="J18" s="11">
        <v>1098</v>
      </c>
      <c r="K18" s="9" t="s">
        <v>63</v>
      </c>
    </row>
    <row r="19" spans="1:11" ht="13.5" customHeight="1" x14ac:dyDescent="0.25">
      <c r="A19" s="12" t="s">
        <v>82</v>
      </c>
      <c r="B19" s="12">
        <v>2022</v>
      </c>
      <c r="C19" s="13" t="s">
        <v>59</v>
      </c>
      <c r="D19" s="14" t="s">
        <v>60</v>
      </c>
      <c r="E19" s="12" t="s">
        <v>42</v>
      </c>
      <c r="F19" s="14" t="s">
        <v>78</v>
      </c>
      <c r="G19" s="14" t="s">
        <v>79</v>
      </c>
      <c r="H19" s="15">
        <v>2950</v>
      </c>
      <c r="I19" s="15">
        <v>2077.5</v>
      </c>
      <c r="J19" s="16">
        <v>1420</v>
      </c>
      <c r="K19" s="14" t="s">
        <v>63</v>
      </c>
    </row>
    <row r="20" spans="1:11" ht="13.5" customHeight="1" x14ac:dyDescent="0.25">
      <c r="A20" s="7" t="s">
        <v>83</v>
      </c>
      <c r="B20" s="7">
        <v>2023</v>
      </c>
      <c r="C20" s="8" t="s">
        <v>59</v>
      </c>
      <c r="D20" s="9" t="s">
        <v>60</v>
      </c>
      <c r="E20" s="7" t="s">
        <v>42</v>
      </c>
      <c r="F20" s="9" t="s">
        <v>78</v>
      </c>
      <c r="G20" s="9" t="s">
        <v>79</v>
      </c>
      <c r="H20" s="10">
        <v>2450</v>
      </c>
      <c r="I20" s="10">
        <v>2663</v>
      </c>
      <c r="J20" s="11">
        <v>920</v>
      </c>
      <c r="K20" s="9" t="s">
        <v>63</v>
      </c>
    </row>
    <row r="21" spans="1:11" ht="13.5" customHeight="1" x14ac:dyDescent="0.25">
      <c r="A21" s="12" t="s">
        <v>84</v>
      </c>
      <c r="B21" s="12">
        <v>2024</v>
      </c>
      <c r="C21" s="13" t="s">
        <v>59</v>
      </c>
      <c r="D21" s="14" t="s">
        <v>60</v>
      </c>
      <c r="E21" s="12" t="s">
        <v>42</v>
      </c>
      <c r="F21" s="14" t="s">
        <v>78</v>
      </c>
      <c r="G21" s="14" t="s">
        <v>79</v>
      </c>
      <c r="H21" s="15">
        <v>2620</v>
      </c>
      <c r="I21" s="15">
        <v>3011.5</v>
      </c>
      <c r="J21" s="16">
        <v>870</v>
      </c>
      <c r="K21" s="14" t="s">
        <v>63</v>
      </c>
    </row>
    <row r="22" spans="1:11" ht="13.5" customHeight="1" x14ac:dyDescent="0.25">
      <c r="A22" s="7" t="s">
        <v>85</v>
      </c>
      <c r="B22" s="7">
        <v>2019</v>
      </c>
      <c r="C22" s="8" t="s">
        <v>59</v>
      </c>
      <c r="D22" s="9" t="s">
        <v>60</v>
      </c>
      <c r="E22" s="7" t="s">
        <v>42</v>
      </c>
      <c r="F22" s="9" t="s">
        <v>86</v>
      </c>
      <c r="G22" s="9" t="s">
        <v>62</v>
      </c>
      <c r="H22" s="10">
        <v>1840</v>
      </c>
      <c r="I22" s="10">
        <v>2562.6999999999998</v>
      </c>
      <c r="J22" s="11">
        <v>718</v>
      </c>
      <c r="K22" s="9" t="s">
        <v>63</v>
      </c>
    </row>
    <row r="23" spans="1:11" ht="13.5" customHeight="1" x14ac:dyDescent="0.25">
      <c r="A23" s="12" t="s">
        <v>87</v>
      </c>
      <c r="B23" s="12">
        <v>2020</v>
      </c>
      <c r="C23" s="13" t="s">
        <v>59</v>
      </c>
      <c r="D23" s="14" t="s">
        <v>60</v>
      </c>
      <c r="E23" s="12" t="s">
        <v>42</v>
      </c>
      <c r="F23" s="14" t="s">
        <v>86</v>
      </c>
      <c r="G23" s="14" t="s">
        <v>62</v>
      </c>
      <c r="H23" s="15">
        <v>1640</v>
      </c>
      <c r="I23" s="15">
        <v>2243.5</v>
      </c>
      <c r="J23" s="16">
        <v>731</v>
      </c>
      <c r="K23" s="14" t="s">
        <v>63</v>
      </c>
    </row>
    <row r="24" spans="1:11" ht="13.5" customHeight="1" x14ac:dyDescent="0.25">
      <c r="A24" s="7" t="s">
        <v>88</v>
      </c>
      <c r="B24" s="7">
        <v>2021</v>
      </c>
      <c r="C24" s="8" t="s">
        <v>59</v>
      </c>
      <c r="D24" s="9" t="s">
        <v>60</v>
      </c>
      <c r="E24" s="7" t="s">
        <v>42</v>
      </c>
      <c r="F24" s="9" t="s">
        <v>86</v>
      </c>
      <c r="G24" s="9" t="s">
        <v>62</v>
      </c>
      <c r="H24" s="10">
        <v>1960</v>
      </c>
      <c r="I24" s="10">
        <v>1785.1</v>
      </c>
      <c r="J24" s="11">
        <v>1098</v>
      </c>
      <c r="K24" s="9" t="s">
        <v>63</v>
      </c>
    </row>
    <row r="25" spans="1:11" ht="13.5" customHeight="1" x14ac:dyDescent="0.25">
      <c r="A25" s="12" t="s">
        <v>89</v>
      </c>
      <c r="B25" s="12">
        <v>2022</v>
      </c>
      <c r="C25" s="13" t="s">
        <v>59</v>
      </c>
      <c r="D25" s="14" t="s">
        <v>60</v>
      </c>
      <c r="E25" s="12" t="s">
        <v>42</v>
      </c>
      <c r="F25" s="14" t="s">
        <v>86</v>
      </c>
      <c r="G25" s="14" t="s">
        <v>62</v>
      </c>
      <c r="H25" s="15">
        <v>2450</v>
      </c>
      <c r="I25" s="15">
        <v>1725.4</v>
      </c>
      <c r="J25" s="16">
        <v>1420</v>
      </c>
      <c r="K25" s="14" t="s">
        <v>63</v>
      </c>
    </row>
    <row r="26" spans="1:11" ht="13.5" customHeight="1" x14ac:dyDescent="0.25">
      <c r="A26" s="7" t="s">
        <v>90</v>
      </c>
      <c r="B26" s="7">
        <v>2023</v>
      </c>
      <c r="C26" s="8" t="s">
        <v>59</v>
      </c>
      <c r="D26" s="9" t="s">
        <v>60</v>
      </c>
      <c r="E26" s="7" t="s">
        <v>42</v>
      </c>
      <c r="F26" s="9" t="s">
        <v>86</v>
      </c>
      <c r="G26" s="9" t="s">
        <v>62</v>
      </c>
      <c r="H26" s="10">
        <v>2130</v>
      </c>
      <c r="I26" s="10">
        <v>2315.1999999999998</v>
      </c>
      <c r="J26" s="11">
        <v>920</v>
      </c>
      <c r="K26" s="9" t="s">
        <v>63</v>
      </c>
    </row>
    <row r="27" spans="1:11" ht="13.5" customHeight="1" x14ac:dyDescent="0.25">
      <c r="A27" s="12" t="s">
        <v>91</v>
      </c>
      <c r="B27" s="12">
        <v>2024</v>
      </c>
      <c r="C27" s="13" t="s">
        <v>59</v>
      </c>
      <c r="D27" s="14" t="s">
        <v>60</v>
      </c>
      <c r="E27" s="12" t="s">
        <v>42</v>
      </c>
      <c r="F27" s="14" t="s">
        <v>86</v>
      </c>
      <c r="G27" s="14" t="s">
        <v>62</v>
      </c>
      <c r="H27" s="15">
        <v>2240</v>
      </c>
      <c r="I27" s="15">
        <v>2574.6999999999998</v>
      </c>
      <c r="J27" s="16">
        <v>870</v>
      </c>
      <c r="K27" s="14" t="s">
        <v>63</v>
      </c>
    </row>
    <row r="28" spans="1:11" ht="13.5" customHeight="1" x14ac:dyDescent="0.25">
      <c r="A28" s="7" t="s">
        <v>92</v>
      </c>
      <c r="B28" s="7">
        <v>2019</v>
      </c>
      <c r="C28" s="8" t="s">
        <v>59</v>
      </c>
      <c r="D28" s="9" t="s">
        <v>60</v>
      </c>
      <c r="E28" s="7" t="s">
        <v>42</v>
      </c>
      <c r="F28" s="9" t="s">
        <v>93</v>
      </c>
      <c r="G28" s="9" t="s">
        <v>94</v>
      </c>
      <c r="H28" s="10">
        <v>920</v>
      </c>
      <c r="I28" s="10">
        <v>1281.3</v>
      </c>
      <c r="J28" s="11">
        <v>718</v>
      </c>
      <c r="K28" s="9" t="s">
        <v>63</v>
      </c>
    </row>
    <row r="29" spans="1:11" ht="13.5" customHeight="1" x14ac:dyDescent="0.25">
      <c r="A29" s="12" t="s">
        <v>95</v>
      </c>
      <c r="B29" s="12">
        <v>2020</v>
      </c>
      <c r="C29" s="13" t="s">
        <v>59</v>
      </c>
      <c r="D29" s="14" t="s">
        <v>60</v>
      </c>
      <c r="E29" s="12" t="s">
        <v>42</v>
      </c>
      <c r="F29" s="14" t="s">
        <v>93</v>
      </c>
      <c r="G29" s="14" t="s">
        <v>94</v>
      </c>
      <c r="H29" s="15">
        <v>810</v>
      </c>
      <c r="I29" s="15">
        <v>1108.0999999999999</v>
      </c>
      <c r="J29" s="16">
        <v>731</v>
      </c>
      <c r="K29" s="14" t="s">
        <v>63</v>
      </c>
    </row>
    <row r="30" spans="1:11" ht="13.5" customHeight="1" x14ac:dyDescent="0.25">
      <c r="A30" s="7" t="s">
        <v>96</v>
      </c>
      <c r="B30" s="7">
        <v>2021</v>
      </c>
      <c r="C30" s="8" t="s">
        <v>59</v>
      </c>
      <c r="D30" s="9" t="s">
        <v>60</v>
      </c>
      <c r="E30" s="7" t="s">
        <v>42</v>
      </c>
      <c r="F30" s="9" t="s">
        <v>93</v>
      </c>
      <c r="G30" s="9" t="s">
        <v>94</v>
      </c>
      <c r="H30" s="10">
        <v>960</v>
      </c>
      <c r="I30" s="10">
        <v>874.3</v>
      </c>
      <c r="J30" s="11">
        <v>1098</v>
      </c>
      <c r="K30" s="9" t="s">
        <v>63</v>
      </c>
    </row>
    <row r="31" spans="1:11" ht="13.5" customHeight="1" x14ac:dyDescent="0.25">
      <c r="A31" s="12" t="s">
        <v>97</v>
      </c>
      <c r="B31" s="12">
        <v>2022</v>
      </c>
      <c r="C31" s="13" t="s">
        <v>59</v>
      </c>
      <c r="D31" s="14" t="s">
        <v>60</v>
      </c>
      <c r="E31" s="12" t="s">
        <v>42</v>
      </c>
      <c r="F31" s="14" t="s">
        <v>93</v>
      </c>
      <c r="G31" s="14" t="s">
        <v>94</v>
      </c>
      <c r="H31" s="15">
        <v>1220</v>
      </c>
      <c r="I31" s="15">
        <v>859.2</v>
      </c>
      <c r="J31" s="16">
        <v>1420</v>
      </c>
      <c r="K31" s="14" t="s">
        <v>63</v>
      </c>
    </row>
    <row r="32" spans="1:11" ht="13.5" customHeight="1" x14ac:dyDescent="0.25">
      <c r="A32" s="7" t="s">
        <v>98</v>
      </c>
      <c r="B32" s="7">
        <v>2023</v>
      </c>
      <c r="C32" s="8" t="s">
        <v>59</v>
      </c>
      <c r="D32" s="9" t="s">
        <v>60</v>
      </c>
      <c r="E32" s="7" t="s">
        <v>42</v>
      </c>
      <c r="F32" s="9" t="s">
        <v>93</v>
      </c>
      <c r="G32" s="9" t="s">
        <v>94</v>
      </c>
      <c r="H32" s="10">
        <v>1060</v>
      </c>
      <c r="I32" s="10">
        <v>1152.2</v>
      </c>
      <c r="J32" s="11">
        <v>920</v>
      </c>
      <c r="K32" s="9" t="s">
        <v>63</v>
      </c>
    </row>
    <row r="33" spans="1:11" ht="13.5" customHeight="1" x14ac:dyDescent="0.25">
      <c r="A33" s="12" t="s">
        <v>99</v>
      </c>
      <c r="B33" s="12">
        <v>2024</v>
      </c>
      <c r="C33" s="13" t="s">
        <v>59</v>
      </c>
      <c r="D33" s="14" t="s">
        <v>60</v>
      </c>
      <c r="E33" s="12" t="s">
        <v>42</v>
      </c>
      <c r="F33" s="14" t="s">
        <v>93</v>
      </c>
      <c r="G33" s="14" t="s">
        <v>94</v>
      </c>
      <c r="H33" s="15">
        <v>1120</v>
      </c>
      <c r="I33" s="15">
        <v>1287.4000000000001</v>
      </c>
      <c r="J33" s="16">
        <v>870</v>
      </c>
      <c r="K33" s="14" t="s">
        <v>63</v>
      </c>
    </row>
    <row r="34" spans="1:11" ht="13.5" customHeight="1" x14ac:dyDescent="0.25">
      <c r="A34" s="7" t="s">
        <v>100</v>
      </c>
      <c r="B34" s="7">
        <v>2019</v>
      </c>
      <c r="C34" s="8" t="s">
        <v>59</v>
      </c>
      <c r="D34" s="9" t="s">
        <v>101</v>
      </c>
      <c r="E34" s="7" t="s">
        <v>102</v>
      </c>
      <c r="F34" s="9" t="s">
        <v>70</v>
      </c>
      <c r="G34" s="9" t="s">
        <v>71</v>
      </c>
      <c r="H34" s="10">
        <v>6540</v>
      </c>
      <c r="I34" s="10">
        <v>87200</v>
      </c>
      <c r="J34" s="11">
        <v>75</v>
      </c>
      <c r="K34" s="9" t="s">
        <v>63</v>
      </c>
    </row>
    <row r="35" spans="1:11" ht="13.5" customHeight="1" x14ac:dyDescent="0.25">
      <c r="A35" s="12" t="s">
        <v>103</v>
      </c>
      <c r="B35" s="12">
        <v>2020</v>
      </c>
      <c r="C35" s="13" t="s">
        <v>59</v>
      </c>
      <c r="D35" s="14" t="s">
        <v>101</v>
      </c>
      <c r="E35" s="12" t="s">
        <v>102</v>
      </c>
      <c r="F35" s="14" t="s">
        <v>70</v>
      </c>
      <c r="G35" s="14" t="s">
        <v>71</v>
      </c>
      <c r="H35" s="15">
        <v>4240</v>
      </c>
      <c r="I35" s="15">
        <v>65230.8</v>
      </c>
      <c r="J35" s="16">
        <v>65</v>
      </c>
      <c r="K35" s="14" t="s">
        <v>63</v>
      </c>
    </row>
    <row r="36" spans="1:11" ht="13.5" customHeight="1" x14ac:dyDescent="0.25">
      <c r="A36" s="7" t="s">
        <v>104</v>
      </c>
      <c r="B36" s="7">
        <v>2021</v>
      </c>
      <c r="C36" s="8" t="s">
        <v>59</v>
      </c>
      <c r="D36" s="9" t="s">
        <v>101</v>
      </c>
      <c r="E36" s="7" t="s">
        <v>102</v>
      </c>
      <c r="F36" s="9" t="s">
        <v>70</v>
      </c>
      <c r="G36" s="9" t="s">
        <v>71</v>
      </c>
      <c r="H36" s="10">
        <v>8560</v>
      </c>
      <c r="I36" s="10">
        <v>59034.5</v>
      </c>
      <c r="J36" s="11">
        <v>145</v>
      </c>
      <c r="K36" s="9" t="s">
        <v>63</v>
      </c>
    </row>
    <row r="37" spans="1:11" ht="13.5" customHeight="1" x14ac:dyDescent="0.25">
      <c r="A37" s="12" t="s">
        <v>105</v>
      </c>
      <c r="B37" s="12">
        <v>2022</v>
      </c>
      <c r="C37" s="13" t="s">
        <v>59</v>
      </c>
      <c r="D37" s="14" t="s">
        <v>101</v>
      </c>
      <c r="E37" s="12" t="s">
        <v>102</v>
      </c>
      <c r="F37" s="14" t="s">
        <v>70</v>
      </c>
      <c r="G37" s="14" t="s">
        <v>71</v>
      </c>
      <c r="H37" s="15">
        <v>14200</v>
      </c>
      <c r="I37" s="15">
        <v>41764.699999999997</v>
      </c>
      <c r="J37" s="16">
        <v>340</v>
      </c>
      <c r="K37" s="14" t="s">
        <v>63</v>
      </c>
    </row>
    <row r="38" spans="1:11" ht="13.5" customHeight="1" x14ac:dyDescent="0.25">
      <c r="A38" s="7" t="s">
        <v>106</v>
      </c>
      <c r="B38" s="7">
        <v>2023</v>
      </c>
      <c r="C38" s="8" t="s">
        <v>59</v>
      </c>
      <c r="D38" s="9" t="s">
        <v>101</v>
      </c>
      <c r="E38" s="7" t="s">
        <v>102</v>
      </c>
      <c r="F38" s="9" t="s">
        <v>70</v>
      </c>
      <c r="G38" s="9" t="s">
        <v>71</v>
      </c>
      <c r="H38" s="10">
        <v>9850</v>
      </c>
      <c r="I38" s="10">
        <v>56285.7</v>
      </c>
      <c r="J38" s="11">
        <v>175</v>
      </c>
      <c r="K38" s="9" t="s">
        <v>63</v>
      </c>
    </row>
    <row r="39" spans="1:11" ht="13.5" customHeight="1" x14ac:dyDescent="0.25">
      <c r="A39" s="12" t="s">
        <v>107</v>
      </c>
      <c r="B39" s="12">
        <v>2024</v>
      </c>
      <c r="C39" s="13" t="s">
        <v>59</v>
      </c>
      <c r="D39" s="14" t="s">
        <v>101</v>
      </c>
      <c r="E39" s="12" t="s">
        <v>102</v>
      </c>
      <c r="F39" s="14" t="s">
        <v>70</v>
      </c>
      <c r="G39" s="14" t="s">
        <v>71</v>
      </c>
      <c r="H39" s="15">
        <v>8540</v>
      </c>
      <c r="I39" s="15">
        <v>65692.3</v>
      </c>
      <c r="J39" s="16">
        <v>130</v>
      </c>
      <c r="K39" s="14" t="s">
        <v>63</v>
      </c>
    </row>
    <row r="40" spans="1:11" ht="13.5" customHeight="1" x14ac:dyDescent="0.25">
      <c r="A40" s="7" t="s">
        <v>108</v>
      </c>
      <c r="B40" s="7">
        <v>2019</v>
      </c>
      <c r="C40" s="8" t="s">
        <v>59</v>
      </c>
      <c r="D40" s="9" t="s">
        <v>101</v>
      </c>
      <c r="E40" s="7" t="s">
        <v>102</v>
      </c>
      <c r="F40" s="9" t="s">
        <v>61</v>
      </c>
      <c r="G40" s="9" t="s">
        <v>62</v>
      </c>
      <c r="H40" s="10">
        <v>4250</v>
      </c>
      <c r="I40" s="10">
        <v>56666.7</v>
      </c>
      <c r="J40" s="11">
        <v>75</v>
      </c>
      <c r="K40" s="9" t="s">
        <v>63</v>
      </c>
    </row>
    <row r="41" spans="1:11" ht="13.5" customHeight="1" x14ac:dyDescent="0.25">
      <c r="A41" s="12" t="s">
        <v>109</v>
      </c>
      <c r="B41" s="12">
        <v>2020</v>
      </c>
      <c r="C41" s="13" t="s">
        <v>59</v>
      </c>
      <c r="D41" s="14" t="s">
        <v>101</v>
      </c>
      <c r="E41" s="12" t="s">
        <v>102</v>
      </c>
      <c r="F41" s="14" t="s">
        <v>61</v>
      </c>
      <c r="G41" s="14" t="s">
        <v>62</v>
      </c>
      <c r="H41" s="15">
        <v>2850</v>
      </c>
      <c r="I41" s="15">
        <v>43846.2</v>
      </c>
      <c r="J41" s="16">
        <v>65</v>
      </c>
      <c r="K41" s="14" t="s">
        <v>63</v>
      </c>
    </row>
    <row r="42" spans="1:11" ht="13.5" customHeight="1" x14ac:dyDescent="0.25">
      <c r="A42" s="7" t="s">
        <v>110</v>
      </c>
      <c r="B42" s="7">
        <v>2021</v>
      </c>
      <c r="C42" s="8" t="s">
        <v>59</v>
      </c>
      <c r="D42" s="9" t="s">
        <v>101</v>
      </c>
      <c r="E42" s="7" t="s">
        <v>102</v>
      </c>
      <c r="F42" s="9" t="s">
        <v>61</v>
      </c>
      <c r="G42" s="9" t="s">
        <v>62</v>
      </c>
      <c r="H42" s="10">
        <v>5540</v>
      </c>
      <c r="I42" s="10">
        <v>38206.9</v>
      </c>
      <c r="J42" s="11">
        <v>145</v>
      </c>
      <c r="K42" s="9" t="s">
        <v>63</v>
      </c>
    </row>
    <row r="43" spans="1:11" ht="13.5" customHeight="1" x14ac:dyDescent="0.25">
      <c r="A43" s="12" t="s">
        <v>111</v>
      </c>
      <c r="B43" s="12">
        <v>2022</v>
      </c>
      <c r="C43" s="13" t="s">
        <v>59</v>
      </c>
      <c r="D43" s="14" t="s">
        <v>101</v>
      </c>
      <c r="E43" s="12" t="s">
        <v>102</v>
      </c>
      <c r="F43" s="14" t="s">
        <v>61</v>
      </c>
      <c r="G43" s="14" t="s">
        <v>62</v>
      </c>
      <c r="H43" s="15">
        <v>9120</v>
      </c>
      <c r="I43" s="15">
        <v>26823.5</v>
      </c>
      <c r="J43" s="16">
        <v>340</v>
      </c>
      <c r="K43" s="14" t="s">
        <v>63</v>
      </c>
    </row>
    <row r="44" spans="1:11" ht="13.5" customHeight="1" x14ac:dyDescent="0.25">
      <c r="A44" s="7" t="s">
        <v>112</v>
      </c>
      <c r="B44" s="7">
        <v>2023</v>
      </c>
      <c r="C44" s="8" t="s">
        <v>59</v>
      </c>
      <c r="D44" s="9" t="s">
        <v>101</v>
      </c>
      <c r="E44" s="7" t="s">
        <v>102</v>
      </c>
      <c r="F44" s="9" t="s">
        <v>61</v>
      </c>
      <c r="G44" s="9" t="s">
        <v>62</v>
      </c>
      <c r="H44" s="10">
        <v>6340</v>
      </c>
      <c r="I44" s="10">
        <v>36228.6</v>
      </c>
      <c r="J44" s="11">
        <v>175</v>
      </c>
      <c r="K44" s="9" t="s">
        <v>63</v>
      </c>
    </row>
    <row r="45" spans="1:11" ht="13.5" customHeight="1" x14ac:dyDescent="0.25">
      <c r="A45" s="12" t="s">
        <v>113</v>
      </c>
      <c r="B45" s="12">
        <v>2024</v>
      </c>
      <c r="C45" s="13" t="s">
        <v>59</v>
      </c>
      <c r="D45" s="14" t="s">
        <v>101</v>
      </c>
      <c r="E45" s="12" t="s">
        <v>102</v>
      </c>
      <c r="F45" s="14" t="s">
        <v>61</v>
      </c>
      <c r="G45" s="14" t="s">
        <v>62</v>
      </c>
      <c r="H45" s="15">
        <v>5560</v>
      </c>
      <c r="I45" s="15">
        <v>42769.2</v>
      </c>
      <c r="J45" s="16">
        <v>130</v>
      </c>
      <c r="K45" s="14" t="s">
        <v>63</v>
      </c>
    </row>
    <row r="46" spans="1:11" ht="13.5" customHeight="1" x14ac:dyDescent="0.25">
      <c r="A46" s="7" t="s">
        <v>114</v>
      </c>
      <c r="B46" s="7">
        <v>2019</v>
      </c>
      <c r="C46" s="8" t="s">
        <v>59</v>
      </c>
      <c r="D46" s="9" t="s">
        <v>101</v>
      </c>
      <c r="E46" s="7" t="s">
        <v>102</v>
      </c>
      <c r="F46" s="9" t="s">
        <v>115</v>
      </c>
      <c r="G46" s="9" t="s">
        <v>71</v>
      </c>
      <c r="H46" s="10">
        <v>3820</v>
      </c>
      <c r="I46" s="10">
        <v>50933.3</v>
      </c>
      <c r="J46" s="11">
        <v>75</v>
      </c>
      <c r="K46" s="9" t="s">
        <v>63</v>
      </c>
    </row>
    <row r="47" spans="1:11" ht="13.5" customHeight="1" x14ac:dyDescent="0.25">
      <c r="A47" s="12" t="s">
        <v>116</v>
      </c>
      <c r="B47" s="12">
        <v>2020</v>
      </c>
      <c r="C47" s="13" t="s">
        <v>59</v>
      </c>
      <c r="D47" s="14" t="s">
        <v>101</v>
      </c>
      <c r="E47" s="12" t="s">
        <v>102</v>
      </c>
      <c r="F47" s="14" t="s">
        <v>115</v>
      </c>
      <c r="G47" s="14" t="s">
        <v>71</v>
      </c>
      <c r="H47" s="15">
        <v>2640</v>
      </c>
      <c r="I47" s="15">
        <v>40615.4</v>
      </c>
      <c r="J47" s="16">
        <v>65</v>
      </c>
      <c r="K47" s="14" t="s">
        <v>63</v>
      </c>
    </row>
    <row r="48" spans="1:11" ht="13.5" customHeight="1" x14ac:dyDescent="0.25">
      <c r="A48" s="7" t="s">
        <v>117</v>
      </c>
      <c r="B48" s="7">
        <v>2021</v>
      </c>
      <c r="C48" s="8" t="s">
        <v>59</v>
      </c>
      <c r="D48" s="9" t="s">
        <v>101</v>
      </c>
      <c r="E48" s="7" t="s">
        <v>102</v>
      </c>
      <c r="F48" s="9" t="s">
        <v>115</v>
      </c>
      <c r="G48" s="9" t="s">
        <v>71</v>
      </c>
      <c r="H48" s="10">
        <v>4850</v>
      </c>
      <c r="I48" s="10">
        <v>33448.300000000003</v>
      </c>
      <c r="J48" s="11">
        <v>145</v>
      </c>
      <c r="K48" s="9" t="s">
        <v>63</v>
      </c>
    </row>
    <row r="49" spans="1:11" ht="13.5" customHeight="1" x14ac:dyDescent="0.25">
      <c r="A49" s="12" t="s">
        <v>118</v>
      </c>
      <c r="B49" s="12">
        <v>2022</v>
      </c>
      <c r="C49" s="13" t="s">
        <v>59</v>
      </c>
      <c r="D49" s="14" t="s">
        <v>101</v>
      </c>
      <c r="E49" s="12" t="s">
        <v>102</v>
      </c>
      <c r="F49" s="14" t="s">
        <v>115</v>
      </c>
      <c r="G49" s="14" t="s">
        <v>71</v>
      </c>
      <c r="H49" s="15">
        <v>7920</v>
      </c>
      <c r="I49" s="15">
        <v>23294.1</v>
      </c>
      <c r="J49" s="16">
        <v>340</v>
      </c>
      <c r="K49" s="14" t="s">
        <v>63</v>
      </c>
    </row>
    <row r="50" spans="1:11" ht="13.5" customHeight="1" x14ac:dyDescent="0.25">
      <c r="A50" s="7" t="s">
        <v>119</v>
      </c>
      <c r="B50" s="7">
        <v>2023</v>
      </c>
      <c r="C50" s="8" t="s">
        <v>59</v>
      </c>
      <c r="D50" s="9" t="s">
        <v>101</v>
      </c>
      <c r="E50" s="7" t="s">
        <v>102</v>
      </c>
      <c r="F50" s="9" t="s">
        <v>115</v>
      </c>
      <c r="G50" s="9" t="s">
        <v>71</v>
      </c>
      <c r="H50" s="10">
        <v>5650</v>
      </c>
      <c r="I50" s="10">
        <v>32285.7</v>
      </c>
      <c r="J50" s="11">
        <v>175</v>
      </c>
      <c r="K50" s="9" t="s">
        <v>63</v>
      </c>
    </row>
    <row r="51" spans="1:11" ht="13.5" customHeight="1" x14ac:dyDescent="0.25">
      <c r="A51" s="12" t="s">
        <v>120</v>
      </c>
      <c r="B51" s="12">
        <v>2024</v>
      </c>
      <c r="C51" s="13" t="s">
        <v>59</v>
      </c>
      <c r="D51" s="14" t="s">
        <v>101</v>
      </c>
      <c r="E51" s="12" t="s">
        <v>102</v>
      </c>
      <c r="F51" s="14" t="s">
        <v>115</v>
      </c>
      <c r="G51" s="14" t="s">
        <v>71</v>
      </c>
      <c r="H51" s="15">
        <v>4950</v>
      </c>
      <c r="I51" s="15">
        <v>38076.9</v>
      </c>
      <c r="J51" s="16">
        <v>130</v>
      </c>
      <c r="K51" s="14" t="s">
        <v>63</v>
      </c>
    </row>
    <row r="52" spans="1:11" ht="13.5" customHeight="1" x14ac:dyDescent="0.25">
      <c r="A52" s="7" t="s">
        <v>121</v>
      </c>
      <c r="B52" s="7">
        <v>2019</v>
      </c>
      <c r="C52" s="8" t="s">
        <v>59</v>
      </c>
      <c r="D52" s="9" t="s">
        <v>101</v>
      </c>
      <c r="E52" s="7" t="s">
        <v>102</v>
      </c>
      <c r="F52" s="9" t="s">
        <v>122</v>
      </c>
      <c r="G52" s="9" t="s">
        <v>71</v>
      </c>
      <c r="H52" s="10">
        <v>2940</v>
      </c>
      <c r="I52" s="10">
        <v>39200</v>
      </c>
      <c r="J52" s="11">
        <v>75</v>
      </c>
      <c r="K52" s="9" t="s">
        <v>63</v>
      </c>
    </row>
    <row r="53" spans="1:11" ht="13.5" customHeight="1" x14ac:dyDescent="0.25">
      <c r="A53" s="12" t="s">
        <v>123</v>
      </c>
      <c r="B53" s="12">
        <v>2020</v>
      </c>
      <c r="C53" s="13" t="s">
        <v>59</v>
      </c>
      <c r="D53" s="14" t="s">
        <v>101</v>
      </c>
      <c r="E53" s="12" t="s">
        <v>102</v>
      </c>
      <c r="F53" s="14" t="s">
        <v>122</v>
      </c>
      <c r="G53" s="14" t="s">
        <v>71</v>
      </c>
      <c r="H53" s="15">
        <v>2020</v>
      </c>
      <c r="I53" s="15">
        <v>31076.9</v>
      </c>
      <c r="J53" s="16">
        <v>65</v>
      </c>
      <c r="K53" s="14" t="s">
        <v>63</v>
      </c>
    </row>
    <row r="54" spans="1:11" ht="13.5" customHeight="1" x14ac:dyDescent="0.25">
      <c r="A54" s="7" t="s">
        <v>124</v>
      </c>
      <c r="B54" s="7">
        <v>2021</v>
      </c>
      <c r="C54" s="8" t="s">
        <v>59</v>
      </c>
      <c r="D54" s="9" t="s">
        <v>101</v>
      </c>
      <c r="E54" s="7" t="s">
        <v>102</v>
      </c>
      <c r="F54" s="9" t="s">
        <v>122</v>
      </c>
      <c r="G54" s="9" t="s">
        <v>71</v>
      </c>
      <c r="H54" s="10">
        <v>3840</v>
      </c>
      <c r="I54" s="10">
        <v>26482.799999999999</v>
      </c>
      <c r="J54" s="11">
        <v>145</v>
      </c>
      <c r="K54" s="9" t="s">
        <v>63</v>
      </c>
    </row>
    <row r="55" spans="1:11" ht="13.5" customHeight="1" x14ac:dyDescent="0.25">
      <c r="A55" s="12" t="s">
        <v>125</v>
      </c>
      <c r="B55" s="12">
        <v>2022</v>
      </c>
      <c r="C55" s="13" t="s">
        <v>59</v>
      </c>
      <c r="D55" s="14" t="s">
        <v>101</v>
      </c>
      <c r="E55" s="12" t="s">
        <v>102</v>
      </c>
      <c r="F55" s="14" t="s">
        <v>122</v>
      </c>
      <c r="G55" s="14" t="s">
        <v>71</v>
      </c>
      <c r="H55" s="15">
        <v>6280</v>
      </c>
      <c r="I55" s="15">
        <v>18470.599999999999</v>
      </c>
      <c r="J55" s="16">
        <v>340</v>
      </c>
      <c r="K55" s="14" t="s">
        <v>63</v>
      </c>
    </row>
    <row r="56" spans="1:11" ht="13.5" customHeight="1" x14ac:dyDescent="0.25">
      <c r="A56" s="7" t="s">
        <v>126</v>
      </c>
      <c r="B56" s="7">
        <v>2023</v>
      </c>
      <c r="C56" s="8" t="s">
        <v>59</v>
      </c>
      <c r="D56" s="9" t="s">
        <v>101</v>
      </c>
      <c r="E56" s="7" t="s">
        <v>102</v>
      </c>
      <c r="F56" s="9" t="s">
        <v>122</v>
      </c>
      <c r="G56" s="9" t="s">
        <v>71</v>
      </c>
      <c r="H56" s="10">
        <v>4450</v>
      </c>
      <c r="I56" s="10">
        <v>25428.6</v>
      </c>
      <c r="J56" s="11">
        <v>175</v>
      </c>
      <c r="K56" s="9" t="s">
        <v>63</v>
      </c>
    </row>
    <row r="57" spans="1:11" ht="13.5" customHeight="1" x14ac:dyDescent="0.25">
      <c r="A57" s="12" t="s">
        <v>127</v>
      </c>
      <c r="B57" s="12">
        <v>2024</v>
      </c>
      <c r="C57" s="13" t="s">
        <v>59</v>
      </c>
      <c r="D57" s="14" t="s">
        <v>101</v>
      </c>
      <c r="E57" s="12" t="s">
        <v>102</v>
      </c>
      <c r="F57" s="14" t="s">
        <v>122</v>
      </c>
      <c r="G57" s="14" t="s">
        <v>71</v>
      </c>
      <c r="H57" s="15">
        <v>3860</v>
      </c>
      <c r="I57" s="15">
        <v>29692.3</v>
      </c>
      <c r="J57" s="16">
        <v>130</v>
      </c>
      <c r="K57" s="14" t="s">
        <v>63</v>
      </c>
    </row>
    <row r="58" spans="1:11" ht="13.5" customHeight="1" x14ac:dyDescent="0.25">
      <c r="A58" s="7" t="s">
        <v>128</v>
      </c>
      <c r="B58" s="7">
        <v>2019</v>
      </c>
      <c r="C58" s="8" t="s">
        <v>59</v>
      </c>
      <c r="D58" s="9" t="s">
        <v>101</v>
      </c>
      <c r="E58" s="7" t="s">
        <v>102</v>
      </c>
      <c r="F58" s="9" t="s">
        <v>129</v>
      </c>
      <c r="G58" s="9" t="s">
        <v>94</v>
      </c>
      <c r="H58" s="10">
        <v>1220</v>
      </c>
      <c r="I58" s="10">
        <v>16266.7</v>
      </c>
      <c r="J58" s="11">
        <v>75</v>
      </c>
      <c r="K58" s="9" t="s">
        <v>63</v>
      </c>
    </row>
    <row r="59" spans="1:11" ht="13.5" customHeight="1" x14ac:dyDescent="0.25">
      <c r="A59" s="12" t="s">
        <v>130</v>
      </c>
      <c r="B59" s="12">
        <v>2020</v>
      </c>
      <c r="C59" s="13" t="s">
        <v>59</v>
      </c>
      <c r="D59" s="14" t="s">
        <v>101</v>
      </c>
      <c r="E59" s="12" t="s">
        <v>102</v>
      </c>
      <c r="F59" s="14" t="s">
        <v>129</v>
      </c>
      <c r="G59" s="14" t="s">
        <v>94</v>
      </c>
      <c r="H59" s="15">
        <v>820</v>
      </c>
      <c r="I59" s="15">
        <v>12615.4</v>
      </c>
      <c r="J59" s="16">
        <v>65</v>
      </c>
      <c r="K59" s="14" t="s">
        <v>63</v>
      </c>
    </row>
    <row r="60" spans="1:11" ht="13.5" customHeight="1" x14ac:dyDescent="0.25">
      <c r="A60" s="7" t="s">
        <v>131</v>
      </c>
      <c r="B60" s="7">
        <v>2021</v>
      </c>
      <c r="C60" s="8" t="s">
        <v>59</v>
      </c>
      <c r="D60" s="9" t="s">
        <v>101</v>
      </c>
      <c r="E60" s="7" t="s">
        <v>102</v>
      </c>
      <c r="F60" s="9" t="s">
        <v>129</v>
      </c>
      <c r="G60" s="9" t="s">
        <v>94</v>
      </c>
      <c r="H60" s="10">
        <v>1640</v>
      </c>
      <c r="I60" s="10">
        <v>11310.3</v>
      </c>
      <c r="J60" s="11">
        <v>145</v>
      </c>
      <c r="K60" s="9" t="s">
        <v>63</v>
      </c>
    </row>
    <row r="61" spans="1:11" ht="13.5" customHeight="1" x14ac:dyDescent="0.25">
      <c r="A61" s="12" t="s">
        <v>132</v>
      </c>
      <c r="B61" s="12">
        <v>2022</v>
      </c>
      <c r="C61" s="13" t="s">
        <v>59</v>
      </c>
      <c r="D61" s="14" t="s">
        <v>101</v>
      </c>
      <c r="E61" s="12" t="s">
        <v>102</v>
      </c>
      <c r="F61" s="14" t="s">
        <v>129</v>
      </c>
      <c r="G61" s="14" t="s">
        <v>94</v>
      </c>
      <c r="H61" s="15">
        <v>2650</v>
      </c>
      <c r="I61" s="15">
        <v>7794.1</v>
      </c>
      <c r="J61" s="16">
        <v>340</v>
      </c>
      <c r="K61" s="14" t="s">
        <v>63</v>
      </c>
    </row>
    <row r="62" spans="1:11" ht="13.5" customHeight="1" x14ac:dyDescent="0.25">
      <c r="A62" s="7" t="s">
        <v>133</v>
      </c>
      <c r="B62" s="7">
        <v>2023</v>
      </c>
      <c r="C62" s="8" t="s">
        <v>59</v>
      </c>
      <c r="D62" s="9" t="s">
        <v>101</v>
      </c>
      <c r="E62" s="7" t="s">
        <v>102</v>
      </c>
      <c r="F62" s="9" t="s">
        <v>129</v>
      </c>
      <c r="G62" s="9" t="s">
        <v>94</v>
      </c>
      <c r="H62" s="10">
        <v>1830</v>
      </c>
      <c r="I62" s="10">
        <v>10457.1</v>
      </c>
      <c r="J62" s="11">
        <v>175</v>
      </c>
      <c r="K62" s="9" t="s">
        <v>63</v>
      </c>
    </row>
    <row r="63" spans="1:11" ht="13.5" customHeight="1" x14ac:dyDescent="0.25">
      <c r="A63" s="12" t="s">
        <v>134</v>
      </c>
      <c r="B63" s="12">
        <v>2024</v>
      </c>
      <c r="C63" s="13" t="s">
        <v>59</v>
      </c>
      <c r="D63" s="14" t="s">
        <v>101</v>
      </c>
      <c r="E63" s="12" t="s">
        <v>102</v>
      </c>
      <c r="F63" s="14" t="s">
        <v>129</v>
      </c>
      <c r="G63" s="14" t="s">
        <v>94</v>
      </c>
      <c r="H63" s="15">
        <v>1640</v>
      </c>
      <c r="I63" s="15">
        <v>12615.4</v>
      </c>
      <c r="J63" s="16">
        <v>130</v>
      </c>
      <c r="K63" s="14" t="s">
        <v>63</v>
      </c>
    </row>
    <row r="64" spans="1:11" ht="13.5" customHeight="1" x14ac:dyDescent="0.25">
      <c r="A64" s="7" t="s">
        <v>135</v>
      </c>
      <c r="B64" s="7">
        <v>2019</v>
      </c>
      <c r="C64" s="8" t="s">
        <v>59</v>
      </c>
      <c r="D64" s="9" t="s">
        <v>136</v>
      </c>
      <c r="E64" s="7" t="s">
        <v>137</v>
      </c>
      <c r="F64" s="9" t="s">
        <v>70</v>
      </c>
      <c r="G64" s="9" t="s">
        <v>71</v>
      </c>
      <c r="H64" s="10">
        <v>3840</v>
      </c>
      <c r="I64" s="10">
        <v>274.3</v>
      </c>
      <c r="J64" s="11">
        <v>14000</v>
      </c>
      <c r="K64" s="9" t="s">
        <v>63</v>
      </c>
    </row>
    <row r="65" spans="1:11" ht="13.5" customHeight="1" x14ac:dyDescent="0.25">
      <c r="A65" s="12" t="s">
        <v>138</v>
      </c>
      <c r="B65" s="12">
        <v>2020</v>
      </c>
      <c r="C65" s="13" t="s">
        <v>59</v>
      </c>
      <c r="D65" s="14" t="s">
        <v>136</v>
      </c>
      <c r="E65" s="12" t="s">
        <v>137</v>
      </c>
      <c r="F65" s="14" t="s">
        <v>70</v>
      </c>
      <c r="G65" s="14" t="s">
        <v>71</v>
      </c>
      <c r="H65" s="15">
        <v>4560</v>
      </c>
      <c r="I65" s="15">
        <v>325.7</v>
      </c>
      <c r="J65" s="16">
        <v>14000</v>
      </c>
      <c r="K65" s="14" t="s">
        <v>63</v>
      </c>
    </row>
    <row r="66" spans="1:11" ht="13.5" customHeight="1" x14ac:dyDescent="0.25">
      <c r="A66" s="7" t="s">
        <v>139</v>
      </c>
      <c r="B66" s="7">
        <v>2021</v>
      </c>
      <c r="C66" s="8" t="s">
        <v>59</v>
      </c>
      <c r="D66" s="9" t="s">
        <v>136</v>
      </c>
      <c r="E66" s="7" t="s">
        <v>137</v>
      </c>
      <c r="F66" s="9" t="s">
        <v>70</v>
      </c>
      <c r="G66" s="9" t="s">
        <v>71</v>
      </c>
      <c r="H66" s="10">
        <v>7280</v>
      </c>
      <c r="I66" s="10">
        <v>383.2</v>
      </c>
      <c r="J66" s="11">
        <v>19000</v>
      </c>
      <c r="K66" s="9" t="s">
        <v>63</v>
      </c>
    </row>
    <row r="67" spans="1:11" ht="13.5" customHeight="1" x14ac:dyDescent="0.25">
      <c r="A67" s="12" t="s">
        <v>140</v>
      </c>
      <c r="B67" s="12">
        <v>2022</v>
      </c>
      <c r="C67" s="13" t="s">
        <v>59</v>
      </c>
      <c r="D67" s="14" t="s">
        <v>136</v>
      </c>
      <c r="E67" s="12" t="s">
        <v>137</v>
      </c>
      <c r="F67" s="14" t="s">
        <v>70</v>
      </c>
      <c r="G67" s="14" t="s">
        <v>71</v>
      </c>
      <c r="H67" s="15">
        <v>12100</v>
      </c>
      <c r="I67" s="15">
        <v>465.4</v>
      </c>
      <c r="J67" s="16">
        <v>26000</v>
      </c>
      <c r="K67" s="14" t="s">
        <v>63</v>
      </c>
    </row>
    <row r="68" spans="1:11" ht="13.5" customHeight="1" x14ac:dyDescent="0.25">
      <c r="A68" s="7" t="s">
        <v>141</v>
      </c>
      <c r="B68" s="7">
        <v>2023</v>
      </c>
      <c r="C68" s="8" t="s">
        <v>59</v>
      </c>
      <c r="D68" s="9" t="s">
        <v>136</v>
      </c>
      <c r="E68" s="7" t="s">
        <v>137</v>
      </c>
      <c r="F68" s="9" t="s">
        <v>70</v>
      </c>
      <c r="G68" s="9" t="s">
        <v>71</v>
      </c>
      <c r="H68" s="10">
        <v>16600</v>
      </c>
      <c r="I68" s="10">
        <v>754.5</v>
      </c>
      <c r="J68" s="11">
        <v>22000</v>
      </c>
      <c r="K68" s="9" t="s">
        <v>63</v>
      </c>
    </row>
    <row r="69" spans="1:11" ht="13.5" customHeight="1" x14ac:dyDescent="0.25">
      <c r="A69" s="12" t="s">
        <v>142</v>
      </c>
      <c r="B69" s="12">
        <v>2024</v>
      </c>
      <c r="C69" s="13" t="s">
        <v>59</v>
      </c>
      <c r="D69" s="14" t="s">
        <v>136</v>
      </c>
      <c r="E69" s="12" t="s">
        <v>137</v>
      </c>
      <c r="F69" s="14" t="s">
        <v>70</v>
      </c>
      <c r="G69" s="14" t="s">
        <v>71</v>
      </c>
      <c r="H69" s="15">
        <v>18200</v>
      </c>
      <c r="I69" s="15">
        <v>1070.5999999999999</v>
      </c>
      <c r="J69" s="16">
        <v>17000</v>
      </c>
      <c r="K69" s="14" t="s">
        <v>63</v>
      </c>
    </row>
    <row r="70" spans="1:11" ht="13.5" customHeight="1" x14ac:dyDescent="0.25">
      <c r="A70" s="7" t="s">
        <v>143</v>
      </c>
      <c r="B70" s="7">
        <v>2019</v>
      </c>
      <c r="C70" s="8" t="s">
        <v>59</v>
      </c>
      <c r="D70" s="9" t="s">
        <v>136</v>
      </c>
      <c r="E70" s="7" t="s">
        <v>137</v>
      </c>
      <c r="F70" s="9" t="s">
        <v>115</v>
      </c>
      <c r="G70" s="9" t="s">
        <v>71</v>
      </c>
      <c r="H70" s="10">
        <v>620</v>
      </c>
      <c r="I70" s="10">
        <v>44.3</v>
      </c>
      <c r="J70" s="11">
        <v>14000</v>
      </c>
      <c r="K70" s="9" t="s">
        <v>63</v>
      </c>
    </row>
    <row r="71" spans="1:11" ht="13.5" customHeight="1" x14ac:dyDescent="0.25">
      <c r="A71" s="12" t="s">
        <v>144</v>
      </c>
      <c r="B71" s="12">
        <v>2020</v>
      </c>
      <c r="C71" s="13" t="s">
        <v>59</v>
      </c>
      <c r="D71" s="14" t="s">
        <v>136</v>
      </c>
      <c r="E71" s="12" t="s">
        <v>137</v>
      </c>
      <c r="F71" s="14" t="s">
        <v>115</v>
      </c>
      <c r="G71" s="14" t="s">
        <v>71</v>
      </c>
      <c r="H71" s="15">
        <v>720</v>
      </c>
      <c r="I71" s="15">
        <v>51.4</v>
      </c>
      <c r="J71" s="16">
        <v>14000</v>
      </c>
      <c r="K71" s="14" t="s">
        <v>63</v>
      </c>
    </row>
    <row r="72" spans="1:11" ht="13.5" customHeight="1" x14ac:dyDescent="0.25">
      <c r="A72" s="7" t="s">
        <v>145</v>
      </c>
      <c r="B72" s="7">
        <v>2021</v>
      </c>
      <c r="C72" s="8" t="s">
        <v>59</v>
      </c>
      <c r="D72" s="9" t="s">
        <v>136</v>
      </c>
      <c r="E72" s="7" t="s">
        <v>137</v>
      </c>
      <c r="F72" s="9" t="s">
        <v>115</v>
      </c>
      <c r="G72" s="9" t="s">
        <v>71</v>
      </c>
      <c r="H72" s="10">
        <v>1120</v>
      </c>
      <c r="I72" s="10">
        <v>58.9</v>
      </c>
      <c r="J72" s="11">
        <v>19000</v>
      </c>
      <c r="K72" s="9" t="s">
        <v>63</v>
      </c>
    </row>
    <row r="73" spans="1:11" ht="13.5" customHeight="1" x14ac:dyDescent="0.25">
      <c r="A73" s="12" t="s">
        <v>146</v>
      </c>
      <c r="B73" s="12">
        <v>2022</v>
      </c>
      <c r="C73" s="13" t="s">
        <v>59</v>
      </c>
      <c r="D73" s="14" t="s">
        <v>136</v>
      </c>
      <c r="E73" s="12" t="s">
        <v>137</v>
      </c>
      <c r="F73" s="14" t="s">
        <v>115</v>
      </c>
      <c r="G73" s="14" t="s">
        <v>71</v>
      </c>
      <c r="H73" s="15">
        <v>1850</v>
      </c>
      <c r="I73" s="15">
        <v>71.2</v>
      </c>
      <c r="J73" s="16">
        <v>26000</v>
      </c>
      <c r="K73" s="14" t="s">
        <v>63</v>
      </c>
    </row>
    <row r="74" spans="1:11" ht="13.5" customHeight="1" x14ac:dyDescent="0.25">
      <c r="A74" s="7" t="s">
        <v>147</v>
      </c>
      <c r="B74" s="7">
        <v>2023</v>
      </c>
      <c r="C74" s="8" t="s">
        <v>59</v>
      </c>
      <c r="D74" s="9" t="s">
        <v>136</v>
      </c>
      <c r="E74" s="7" t="s">
        <v>137</v>
      </c>
      <c r="F74" s="9" t="s">
        <v>115</v>
      </c>
      <c r="G74" s="9" t="s">
        <v>71</v>
      </c>
      <c r="H74" s="10">
        <v>2540</v>
      </c>
      <c r="I74" s="10">
        <v>115.5</v>
      </c>
      <c r="J74" s="11">
        <v>22000</v>
      </c>
      <c r="K74" s="9" t="s">
        <v>63</v>
      </c>
    </row>
    <row r="75" spans="1:11" ht="13.5" customHeight="1" x14ac:dyDescent="0.25">
      <c r="A75" s="12" t="s">
        <v>148</v>
      </c>
      <c r="B75" s="12">
        <v>2024</v>
      </c>
      <c r="C75" s="13" t="s">
        <v>59</v>
      </c>
      <c r="D75" s="14" t="s">
        <v>136</v>
      </c>
      <c r="E75" s="12" t="s">
        <v>137</v>
      </c>
      <c r="F75" s="14" t="s">
        <v>115</v>
      </c>
      <c r="G75" s="14" t="s">
        <v>71</v>
      </c>
      <c r="H75" s="15">
        <v>2750</v>
      </c>
      <c r="I75" s="15">
        <v>161.80000000000001</v>
      </c>
      <c r="J75" s="16">
        <v>17000</v>
      </c>
      <c r="K75" s="14" t="s">
        <v>63</v>
      </c>
    </row>
    <row r="76" spans="1:11" ht="13.5" customHeight="1" x14ac:dyDescent="0.25">
      <c r="A76" s="7" t="s">
        <v>149</v>
      </c>
      <c r="B76" s="7">
        <v>2019</v>
      </c>
      <c r="C76" s="8" t="s">
        <v>59</v>
      </c>
      <c r="D76" s="9" t="s">
        <v>136</v>
      </c>
      <c r="E76" s="7" t="s">
        <v>137</v>
      </c>
      <c r="F76" s="9" t="s">
        <v>122</v>
      </c>
      <c r="G76" s="9" t="s">
        <v>71</v>
      </c>
      <c r="H76" s="10">
        <v>420</v>
      </c>
      <c r="I76" s="10">
        <v>30</v>
      </c>
      <c r="J76" s="11">
        <v>14000</v>
      </c>
      <c r="K76" s="9" t="s">
        <v>63</v>
      </c>
    </row>
    <row r="77" spans="1:11" ht="13.5" customHeight="1" x14ac:dyDescent="0.25">
      <c r="A77" s="12" t="s">
        <v>150</v>
      </c>
      <c r="B77" s="12">
        <v>2020</v>
      </c>
      <c r="C77" s="13" t="s">
        <v>59</v>
      </c>
      <c r="D77" s="14" t="s">
        <v>136</v>
      </c>
      <c r="E77" s="12" t="s">
        <v>137</v>
      </c>
      <c r="F77" s="14" t="s">
        <v>122</v>
      </c>
      <c r="G77" s="14" t="s">
        <v>71</v>
      </c>
      <c r="H77" s="15">
        <v>510</v>
      </c>
      <c r="I77" s="15">
        <v>36.4</v>
      </c>
      <c r="J77" s="16">
        <v>14000</v>
      </c>
      <c r="K77" s="14" t="s">
        <v>63</v>
      </c>
    </row>
    <row r="78" spans="1:11" ht="13.5" customHeight="1" x14ac:dyDescent="0.25">
      <c r="A78" s="7" t="s">
        <v>151</v>
      </c>
      <c r="B78" s="7">
        <v>2021</v>
      </c>
      <c r="C78" s="8" t="s">
        <v>59</v>
      </c>
      <c r="D78" s="9" t="s">
        <v>136</v>
      </c>
      <c r="E78" s="7" t="s">
        <v>137</v>
      </c>
      <c r="F78" s="9" t="s">
        <v>122</v>
      </c>
      <c r="G78" s="9" t="s">
        <v>71</v>
      </c>
      <c r="H78" s="10">
        <v>820</v>
      </c>
      <c r="I78" s="10">
        <v>43.2</v>
      </c>
      <c r="J78" s="11">
        <v>19000</v>
      </c>
      <c r="K78" s="9" t="s">
        <v>63</v>
      </c>
    </row>
    <row r="79" spans="1:11" ht="13.5" customHeight="1" x14ac:dyDescent="0.25">
      <c r="A79" s="12" t="s">
        <v>152</v>
      </c>
      <c r="B79" s="12">
        <v>2022</v>
      </c>
      <c r="C79" s="13" t="s">
        <v>59</v>
      </c>
      <c r="D79" s="14" t="s">
        <v>136</v>
      </c>
      <c r="E79" s="12" t="s">
        <v>137</v>
      </c>
      <c r="F79" s="14" t="s">
        <v>122</v>
      </c>
      <c r="G79" s="14" t="s">
        <v>71</v>
      </c>
      <c r="H79" s="15">
        <v>1320</v>
      </c>
      <c r="I79" s="15">
        <v>50.8</v>
      </c>
      <c r="J79" s="16">
        <v>26000</v>
      </c>
      <c r="K79" s="14" t="s">
        <v>63</v>
      </c>
    </row>
    <row r="80" spans="1:11" ht="13.5" customHeight="1" x14ac:dyDescent="0.25">
      <c r="A80" s="7" t="s">
        <v>153</v>
      </c>
      <c r="B80" s="7">
        <v>2023</v>
      </c>
      <c r="C80" s="8" t="s">
        <v>59</v>
      </c>
      <c r="D80" s="9" t="s">
        <v>136</v>
      </c>
      <c r="E80" s="7" t="s">
        <v>137</v>
      </c>
      <c r="F80" s="9" t="s">
        <v>122</v>
      </c>
      <c r="G80" s="9" t="s">
        <v>71</v>
      </c>
      <c r="H80" s="10">
        <v>1840</v>
      </c>
      <c r="I80" s="10">
        <v>83.6</v>
      </c>
      <c r="J80" s="11">
        <v>22000</v>
      </c>
      <c r="K80" s="9" t="s">
        <v>63</v>
      </c>
    </row>
    <row r="81" spans="1:11" ht="13.5" customHeight="1" x14ac:dyDescent="0.25">
      <c r="A81" s="12" t="s">
        <v>154</v>
      </c>
      <c r="B81" s="12">
        <v>2024</v>
      </c>
      <c r="C81" s="13" t="s">
        <v>59</v>
      </c>
      <c r="D81" s="14" t="s">
        <v>136</v>
      </c>
      <c r="E81" s="12" t="s">
        <v>137</v>
      </c>
      <c r="F81" s="14" t="s">
        <v>122</v>
      </c>
      <c r="G81" s="14" t="s">
        <v>71</v>
      </c>
      <c r="H81" s="15">
        <v>2040</v>
      </c>
      <c r="I81" s="15">
        <v>120</v>
      </c>
      <c r="J81" s="16">
        <v>17000</v>
      </c>
      <c r="K81" s="14" t="s">
        <v>63</v>
      </c>
    </row>
    <row r="82" spans="1:11" ht="13.5" customHeight="1" x14ac:dyDescent="0.25">
      <c r="A82" s="7" t="s">
        <v>155</v>
      </c>
      <c r="B82" s="7">
        <v>2019</v>
      </c>
      <c r="C82" s="8" t="s">
        <v>59</v>
      </c>
      <c r="D82" s="9" t="s">
        <v>156</v>
      </c>
      <c r="E82" s="7" t="s">
        <v>157</v>
      </c>
      <c r="F82" s="9" t="s">
        <v>70</v>
      </c>
      <c r="G82" s="9" t="s">
        <v>71</v>
      </c>
      <c r="H82" s="10">
        <v>1840</v>
      </c>
      <c r="I82" s="10">
        <v>1164.5999999999999</v>
      </c>
      <c r="J82" s="11">
        <v>1580</v>
      </c>
      <c r="K82" s="9" t="s">
        <v>63</v>
      </c>
    </row>
    <row r="83" spans="1:11" ht="13.5" customHeight="1" x14ac:dyDescent="0.25">
      <c r="A83" s="12" t="s">
        <v>158</v>
      </c>
      <c r="B83" s="12">
        <v>2020</v>
      </c>
      <c r="C83" s="13" t="s">
        <v>59</v>
      </c>
      <c r="D83" s="14" t="s">
        <v>156</v>
      </c>
      <c r="E83" s="12" t="s">
        <v>157</v>
      </c>
      <c r="F83" s="14" t="s">
        <v>70</v>
      </c>
      <c r="G83" s="14" t="s">
        <v>71</v>
      </c>
      <c r="H83" s="15">
        <v>1420</v>
      </c>
      <c r="I83" s="15">
        <v>1075.8</v>
      </c>
      <c r="J83" s="16">
        <v>1320</v>
      </c>
      <c r="K83" s="14" t="s">
        <v>63</v>
      </c>
    </row>
    <row r="84" spans="1:11" ht="13.5" customHeight="1" x14ac:dyDescent="0.25">
      <c r="A84" s="7" t="s">
        <v>159</v>
      </c>
      <c r="B84" s="7">
        <v>2021</v>
      </c>
      <c r="C84" s="8" t="s">
        <v>59</v>
      </c>
      <c r="D84" s="9" t="s">
        <v>156</v>
      </c>
      <c r="E84" s="7" t="s">
        <v>157</v>
      </c>
      <c r="F84" s="9" t="s">
        <v>70</v>
      </c>
      <c r="G84" s="9" t="s">
        <v>71</v>
      </c>
      <c r="H84" s="10">
        <v>1720</v>
      </c>
      <c r="I84" s="10">
        <v>1005.8</v>
      </c>
      <c r="J84" s="11">
        <v>1710</v>
      </c>
      <c r="K84" s="9" t="s">
        <v>63</v>
      </c>
    </row>
    <row r="85" spans="1:11" ht="13.5" customHeight="1" x14ac:dyDescent="0.25">
      <c r="A85" s="12" t="s">
        <v>160</v>
      </c>
      <c r="B85" s="12">
        <v>2022</v>
      </c>
      <c r="C85" s="13" t="s">
        <v>59</v>
      </c>
      <c r="D85" s="14" t="s">
        <v>156</v>
      </c>
      <c r="E85" s="12" t="s">
        <v>157</v>
      </c>
      <c r="F85" s="14" t="s">
        <v>70</v>
      </c>
      <c r="G85" s="14" t="s">
        <v>71</v>
      </c>
      <c r="H85" s="15">
        <v>2120</v>
      </c>
      <c r="I85" s="15">
        <v>1145.9000000000001</v>
      </c>
      <c r="J85" s="16">
        <v>1850</v>
      </c>
      <c r="K85" s="14" t="s">
        <v>63</v>
      </c>
    </row>
    <row r="86" spans="1:11" ht="13.5" customHeight="1" x14ac:dyDescent="0.25">
      <c r="A86" s="7" t="s">
        <v>161</v>
      </c>
      <c r="B86" s="7">
        <v>2023</v>
      </c>
      <c r="C86" s="8" t="s">
        <v>59</v>
      </c>
      <c r="D86" s="9" t="s">
        <v>156</v>
      </c>
      <c r="E86" s="7" t="s">
        <v>157</v>
      </c>
      <c r="F86" s="9" t="s">
        <v>70</v>
      </c>
      <c r="G86" s="9" t="s">
        <v>71</v>
      </c>
      <c r="H86" s="10">
        <v>1720</v>
      </c>
      <c r="I86" s="10">
        <v>1139.0999999999999</v>
      </c>
      <c r="J86" s="11">
        <v>1510</v>
      </c>
      <c r="K86" s="9" t="s">
        <v>63</v>
      </c>
    </row>
    <row r="87" spans="1:11" ht="13.5" customHeight="1" x14ac:dyDescent="0.25">
      <c r="A87" s="12" t="s">
        <v>162</v>
      </c>
      <c r="B87" s="12">
        <v>2024</v>
      </c>
      <c r="C87" s="13" t="s">
        <v>59</v>
      </c>
      <c r="D87" s="14" t="s">
        <v>156</v>
      </c>
      <c r="E87" s="12" t="s">
        <v>157</v>
      </c>
      <c r="F87" s="14" t="s">
        <v>70</v>
      </c>
      <c r="G87" s="14" t="s">
        <v>71</v>
      </c>
      <c r="H87" s="15">
        <v>1940</v>
      </c>
      <c r="I87" s="15">
        <v>1175.8</v>
      </c>
      <c r="J87" s="16">
        <v>1650</v>
      </c>
      <c r="K87" s="14" t="s">
        <v>63</v>
      </c>
    </row>
    <row r="88" spans="1:11" ht="13.5" customHeight="1" x14ac:dyDescent="0.25">
      <c r="A88" s="7" t="s">
        <v>163</v>
      </c>
      <c r="B88" s="7">
        <v>2019</v>
      </c>
      <c r="C88" s="8" t="s">
        <v>59</v>
      </c>
      <c r="D88" s="9" t="s">
        <v>156</v>
      </c>
      <c r="E88" s="7" t="s">
        <v>157</v>
      </c>
      <c r="F88" s="9" t="s">
        <v>164</v>
      </c>
      <c r="G88" s="9" t="s">
        <v>165</v>
      </c>
      <c r="H88" s="10">
        <v>920</v>
      </c>
      <c r="I88" s="10">
        <v>582.29999999999995</v>
      </c>
      <c r="J88" s="11">
        <v>1580</v>
      </c>
      <c r="K88" s="9" t="s">
        <v>63</v>
      </c>
    </row>
    <row r="89" spans="1:11" ht="13.5" customHeight="1" x14ac:dyDescent="0.25">
      <c r="A89" s="12" t="s">
        <v>166</v>
      </c>
      <c r="B89" s="12">
        <v>2020</v>
      </c>
      <c r="C89" s="13" t="s">
        <v>59</v>
      </c>
      <c r="D89" s="14" t="s">
        <v>156</v>
      </c>
      <c r="E89" s="12" t="s">
        <v>157</v>
      </c>
      <c r="F89" s="14" t="s">
        <v>164</v>
      </c>
      <c r="G89" s="14" t="s">
        <v>165</v>
      </c>
      <c r="H89" s="15">
        <v>710</v>
      </c>
      <c r="I89" s="15">
        <v>537.9</v>
      </c>
      <c r="J89" s="16">
        <v>1320</v>
      </c>
      <c r="K89" s="14" t="s">
        <v>63</v>
      </c>
    </row>
    <row r="90" spans="1:11" ht="13.5" customHeight="1" x14ac:dyDescent="0.25">
      <c r="A90" s="7" t="s">
        <v>167</v>
      </c>
      <c r="B90" s="7">
        <v>2021</v>
      </c>
      <c r="C90" s="8" t="s">
        <v>59</v>
      </c>
      <c r="D90" s="9" t="s">
        <v>156</v>
      </c>
      <c r="E90" s="7" t="s">
        <v>157</v>
      </c>
      <c r="F90" s="9" t="s">
        <v>164</v>
      </c>
      <c r="G90" s="9" t="s">
        <v>165</v>
      </c>
      <c r="H90" s="10">
        <v>860</v>
      </c>
      <c r="I90" s="10">
        <v>502.9</v>
      </c>
      <c r="J90" s="11">
        <v>1710</v>
      </c>
      <c r="K90" s="9" t="s">
        <v>63</v>
      </c>
    </row>
    <row r="91" spans="1:11" ht="13.5" customHeight="1" x14ac:dyDescent="0.25">
      <c r="A91" s="12" t="s">
        <v>168</v>
      </c>
      <c r="B91" s="12">
        <v>2022</v>
      </c>
      <c r="C91" s="13" t="s">
        <v>59</v>
      </c>
      <c r="D91" s="14" t="s">
        <v>156</v>
      </c>
      <c r="E91" s="12" t="s">
        <v>157</v>
      </c>
      <c r="F91" s="14" t="s">
        <v>164</v>
      </c>
      <c r="G91" s="14" t="s">
        <v>165</v>
      </c>
      <c r="H91" s="15">
        <v>1060</v>
      </c>
      <c r="I91" s="15">
        <v>573</v>
      </c>
      <c r="J91" s="16">
        <v>1850</v>
      </c>
      <c r="K91" s="14" t="s">
        <v>63</v>
      </c>
    </row>
    <row r="92" spans="1:11" ht="13.5" customHeight="1" x14ac:dyDescent="0.25">
      <c r="A92" s="7" t="s">
        <v>169</v>
      </c>
      <c r="B92" s="7">
        <v>2023</v>
      </c>
      <c r="C92" s="8" t="s">
        <v>59</v>
      </c>
      <c r="D92" s="9" t="s">
        <v>156</v>
      </c>
      <c r="E92" s="7" t="s">
        <v>157</v>
      </c>
      <c r="F92" s="9" t="s">
        <v>164</v>
      </c>
      <c r="G92" s="9" t="s">
        <v>165</v>
      </c>
      <c r="H92" s="10">
        <v>860</v>
      </c>
      <c r="I92" s="10">
        <v>569.5</v>
      </c>
      <c r="J92" s="11">
        <v>1510</v>
      </c>
      <c r="K92" s="9" t="s">
        <v>63</v>
      </c>
    </row>
    <row r="93" spans="1:11" ht="13.5" customHeight="1" x14ac:dyDescent="0.25">
      <c r="A93" s="12" t="s">
        <v>170</v>
      </c>
      <c r="B93" s="12">
        <v>2024</v>
      </c>
      <c r="C93" s="13" t="s">
        <v>59</v>
      </c>
      <c r="D93" s="14" t="s">
        <v>156</v>
      </c>
      <c r="E93" s="12" t="s">
        <v>157</v>
      </c>
      <c r="F93" s="14" t="s">
        <v>164</v>
      </c>
      <c r="G93" s="14" t="s">
        <v>165</v>
      </c>
      <c r="H93" s="15">
        <v>960</v>
      </c>
      <c r="I93" s="15">
        <v>581.79999999999995</v>
      </c>
      <c r="J93" s="16">
        <v>1650</v>
      </c>
      <c r="K93" s="14" t="s">
        <v>63</v>
      </c>
    </row>
    <row r="94" spans="1:11" ht="13.5" customHeight="1" x14ac:dyDescent="0.25">
      <c r="A94" s="7" t="s">
        <v>171</v>
      </c>
      <c r="B94" s="7">
        <v>2019</v>
      </c>
      <c r="C94" s="8" t="s">
        <v>59</v>
      </c>
      <c r="D94" s="9" t="s">
        <v>156</v>
      </c>
      <c r="E94" s="7" t="s">
        <v>157</v>
      </c>
      <c r="F94" s="9" t="s">
        <v>115</v>
      </c>
      <c r="G94" s="9" t="s">
        <v>71</v>
      </c>
      <c r="H94" s="10">
        <v>710</v>
      </c>
      <c r="I94" s="10">
        <v>449.4</v>
      </c>
      <c r="J94" s="11">
        <v>1580</v>
      </c>
      <c r="K94" s="9" t="s">
        <v>63</v>
      </c>
    </row>
    <row r="95" spans="1:11" ht="13.5" customHeight="1" x14ac:dyDescent="0.25">
      <c r="A95" s="12" t="s">
        <v>172</v>
      </c>
      <c r="B95" s="12">
        <v>2020</v>
      </c>
      <c r="C95" s="13" t="s">
        <v>59</v>
      </c>
      <c r="D95" s="14" t="s">
        <v>156</v>
      </c>
      <c r="E95" s="12" t="s">
        <v>157</v>
      </c>
      <c r="F95" s="14" t="s">
        <v>115</v>
      </c>
      <c r="G95" s="14" t="s">
        <v>71</v>
      </c>
      <c r="H95" s="15">
        <v>560</v>
      </c>
      <c r="I95" s="15">
        <v>424.2</v>
      </c>
      <c r="J95" s="16">
        <v>1320</v>
      </c>
      <c r="K95" s="14" t="s">
        <v>63</v>
      </c>
    </row>
    <row r="96" spans="1:11" ht="13.5" customHeight="1" x14ac:dyDescent="0.25">
      <c r="A96" s="7" t="s">
        <v>173</v>
      </c>
      <c r="B96" s="7">
        <v>2021</v>
      </c>
      <c r="C96" s="8" t="s">
        <v>59</v>
      </c>
      <c r="D96" s="9" t="s">
        <v>156</v>
      </c>
      <c r="E96" s="7" t="s">
        <v>157</v>
      </c>
      <c r="F96" s="9" t="s">
        <v>115</v>
      </c>
      <c r="G96" s="9" t="s">
        <v>71</v>
      </c>
      <c r="H96" s="10">
        <v>680</v>
      </c>
      <c r="I96" s="10">
        <v>397.7</v>
      </c>
      <c r="J96" s="11">
        <v>1710</v>
      </c>
      <c r="K96" s="9" t="s">
        <v>63</v>
      </c>
    </row>
    <row r="97" spans="1:11" ht="13.5" customHeight="1" x14ac:dyDescent="0.25">
      <c r="A97" s="12" t="s">
        <v>174</v>
      </c>
      <c r="B97" s="12">
        <v>2022</v>
      </c>
      <c r="C97" s="13" t="s">
        <v>59</v>
      </c>
      <c r="D97" s="14" t="s">
        <v>156</v>
      </c>
      <c r="E97" s="12" t="s">
        <v>157</v>
      </c>
      <c r="F97" s="14" t="s">
        <v>115</v>
      </c>
      <c r="G97" s="14" t="s">
        <v>71</v>
      </c>
      <c r="H97" s="15">
        <v>830</v>
      </c>
      <c r="I97" s="15">
        <v>448.6</v>
      </c>
      <c r="J97" s="16">
        <v>1850</v>
      </c>
      <c r="K97" s="14" t="s">
        <v>63</v>
      </c>
    </row>
    <row r="98" spans="1:11" ht="13.5" customHeight="1" x14ac:dyDescent="0.25">
      <c r="A98" s="7" t="s">
        <v>175</v>
      </c>
      <c r="B98" s="7">
        <v>2023</v>
      </c>
      <c r="C98" s="8" t="s">
        <v>59</v>
      </c>
      <c r="D98" s="9" t="s">
        <v>156</v>
      </c>
      <c r="E98" s="7" t="s">
        <v>157</v>
      </c>
      <c r="F98" s="9" t="s">
        <v>115</v>
      </c>
      <c r="G98" s="9" t="s">
        <v>71</v>
      </c>
      <c r="H98" s="10">
        <v>670</v>
      </c>
      <c r="I98" s="10">
        <v>443.7</v>
      </c>
      <c r="J98" s="11">
        <v>1510</v>
      </c>
      <c r="K98" s="9" t="s">
        <v>63</v>
      </c>
    </row>
    <row r="99" spans="1:11" ht="13.5" customHeight="1" x14ac:dyDescent="0.25">
      <c r="A99" s="12" t="s">
        <v>176</v>
      </c>
      <c r="B99" s="12">
        <v>2024</v>
      </c>
      <c r="C99" s="13" t="s">
        <v>59</v>
      </c>
      <c r="D99" s="14" t="s">
        <v>156</v>
      </c>
      <c r="E99" s="12" t="s">
        <v>157</v>
      </c>
      <c r="F99" s="14" t="s">
        <v>115</v>
      </c>
      <c r="G99" s="14" t="s">
        <v>71</v>
      </c>
      <c r="H99" s="15">
        <v>750</v>
      </c>
      <c r="I99" s="15">
        <v>454.5</v>
      </c>
      <c r="J99" s="16">
        <v>1650</v>
      </c>
      <c r="K99" s="14" t="s">
        <v>63</v>
      </c>
    </row>
    <row r="100" spans="1:11" ht="13.5" customHeight="1" x14ac:dyDescent="0.25">
      <c r="A100" s="7" t="s">
        <v>177</v>
      </c>
      <c r="B100" s="7">
        <v>2019</v>
      </c>
      <c r="C100" s="8" t="s">
        <v>59</v>
      </c>
      <c r="D100" s="9" t="s">
        <v>178</v>
      </c>
      <c r="E100" s="7" t="s">
        <v>102</v>
      </c>
      <c r="F100" s="9" t="s">
        <v>70</v>
      </c>
      <c r="G100" s="9" t="s">
        <v>71</v>
      </c>
      <c r="H100" s="10">
        <v>3240</v>
      </c>
      <c r="I100" s="10">
        <v>5586.2</v>
      </c>
      <c r="J100" s="11">
        <v>580</v>
      </c>
      <c r="K100" s="9" t="s">
        <v>63</v>
      </c>
    </row>
    <row r="101" spans="1:11" ht="13.5" customHeight="1" x14ac:dyDescent="0.25">
      <c r="A101" s="12" t="s">
        <v>179</v>
      </c>
      <c r="B101" s="12">
        <v>2020</v>
      </c>
      <c r="C101" s="13" t="s">
        <v>59</v>
      </c>
      <c r="D101" s="14" t="s">
        <v>178</v>
      </c>
      <c r="E101" s="12" t="s">
        <v>102</v>
      </c>
      <c r="F101" s="14" t="s">
        <v>70</v>
      </c>
      <c r="G101" s="14" t="s">
        <v>71</v>
      </c>
      <c r="H101" s="15">
        <v>2020</v>
      </c>
      <c r="I101" s="15">
        <v>5179.5</v>
      </c>
      <c r="J101" s="16">
        <v>390</v>
      </c>
      <c r="K101" s="14" t="s">
        <v>63</v>
      </c>
    </row>
    <row r="102" spans="1:11" ht="13.5" customHeight="1" x14ac:dyDescent="0.25">
      <c r="A102" s="7" t="s">
        <v>180</v>
      </c>
      <c r="B102" s="7">
        <v>2021</v>
      </c>
      <c r="C102" s="8" t="s">
        <v>59</v>
      </c>
      <c r="D102" s="9" t="s">
        <v>178</v>
      </c>
      <c r="E102" s="7" t="s">
        <v>102</v>
      </c>
      <c r="F102" s="9" t="s">
        <v>70</v>
      </c>
      <c r="G102" s="9" t="s">
        <v>71</v>
      </c>
      <c r="H102" s="10">
        <v>2840</v>
      </c>
      <c r="I102" s="10">
        <v>4303</v>
      </c>
      <c r="J102" s="11">
        <v>660</v>
      </c>
      <c r="K102" s="9" t="s">
        <v>63</v>
      </c>
    </row>
    <row r="103" spans="1:11" ht="13.5" customHeight="1" x14ac:dyDescent="0.25">
      <c r="A103" s="12" t="s">
        <v>181</v>
      </c>
      <c r="B103" s="12">
        <v>2022</v>
      </c>
      <c r="C103" s="13" t="s">
        <v>59</v>
      </c>
      <c r="D103" s="14" t="s">
        <v>178</v>
      </c>
      <c r="E103" s="12" t="s">
        <v>102</v>
      </c>
      <c r="F103" s="14" t="s">
        <v>70</v>
      </c>
      <c r="G103" s="14" t="s">
        <v>71</v>
      </c>
      <c r="H103" s="15">
        <v>4060</v>
      </c>
      <c r="I103" s="15">
        <v>4613.6000000000004</v>
      </c>
      <c r="J103" s="16">
        <v>880</v>
      </c>
      <c r="K103" s="14" t="s">
        <v>63</v>
      </c>
    </row>
    <row r="104" spans="1:11" ht="13.5" customHeight="1" x14ac:dyDescent="0.25">
      <c r="A104" s="7" t="s">
        <v>182</v>
      </c>
      <c r="B104" s="7">
        <v>2023</v>
      </c>
      <c r="C104" s="8" t="s">
        <v>59</v>
      </c>
      <c r="D104" s="9" t="s">
        <v>178</v>
      </c>
      <c r="E104" s="7" t="s">
        <v>102</v>
      </c>
      <c r="F104" s="9" t="s">
        <v>70</v>
      </c>
      <c r="G104" s="9" t="s">
        <v>71</v>
      </c>
      <c r="H104" s="10">
        <v>3440</v>
      </c>
      <c r="I104" s="10">
        <v>4410.3</v>
      </c>
      <c r="J104" s="11">
        <v>780</v>
      </c>
      <c r="K104" s="9" t="s">
        <v>63</v>
      </c>
    </row>
    <row r="105" spans="1:11" ht="13.5" customHeight="1" x14ac:dyDescent="0.25">
      <c r="A105" s="12" t="s">
        <v>183</v>
      </c>
      <c r="B105" s="12">
        <v>2024</v>
      </c>
      <c r="C105" s="13" t="s">
        <v>59</v>
      </c>
      <c r="D105" s="14" t="s">
        <v>178</v>
      </c>
      <c r="E105" s="12" t="s">
        <v>102</v>
      </c>
      <c r="F105" s="14" t="s">
        <v>70</v>
      </c>
      <c r="G105" s="14" t="s">
        <v>71</v>
      </c>
      <c r="H105" s="15">
        <v>2860</v>
      </c>
      <c r="I105" s="15">
        <v>3763.2</v>
      </c>
      <c r="J105" s="16">
        <v>760</v>
      </c>
      <c r="K105" s="14" t="s">
        <v>63</v>
      </c>
    </row>
    <row r="106" spans="1:11" ht="13.5" customHeight="1" x14ac:dyDescent="0.25">
      <c r="A106" s="7" t="s">
        <v>184</v>
      </c>
      <c r="B106" s="7">
        <v>2019</v>
      </c>
      <c r="C106" s="8" t="s">
        <v>59</v>
      </c>
      <c r="D106" s="9" t="s">
        <v>178</v>
      </c>
      <c r="E106" s="7" t="s">
        <v>102</v>
      </c>
      <c r="F106" s="9" t="s">
        <v>185</v>
      </c>
      <c r="G106" s="9" t="s">
        <v>94</v>
      </c>
      <c r="H106" s="10">
        <v>1840</v>
      </c>
      <c r="I106" s="10">
        <v>3172.4</v>
      </c>
      <c r="J106" s="11">
        <v>580</v>
      </c>
      <c r="K106" s="9" t="s">
        <v>63</v>
      </c>
    </row>
    <row r="107" spans="1:11" ht="13.5" customHeight="1" x14ac:dyDescent="0.25">
      <c r="A107" s="12" t="s">
        <v>186</v>
      </c>
      <c r="B107" s="12">
        <v>2020</v>
      </c>
      <c r="C107" s="13" t="s">
        <v>59</v>
      </c>
      <c r="D107" s="14" t="s">
        <v>178</v>
      </c>
      <c r="E107" s="12" t="s">
        <v>102</v>
      </c>
      <c r="F107" s="14" t="s">
        <v>185</v>
      </c>
      <c r="G107" s="14" t="s">
        <v>94</v>
      </c>
      <c r="H107" s="15">
        <v>1120</v>
      </c>
      <c r="I107" s="15">
        <v>2871.8</v>
      </c>
      <c r="J107" s="16">
        <v>390</v>
      </c>
      <c r="K107" s="14" t="s">
        <v>63</v>
      </c>
    </row>
    <row r="108" spans="1:11" ht="13.5" customHeight="1" x14ac:dyDescent="0.25">
      <c r="A108" s="7" t="s">
        <v>187</v>
      </c>
      <c r="B108" s="7">
        <v>2021</v>
      </c>
      <c r="C108" s="8" t="s">
        <v>59</v>
      </c>
      <c r="D108" s="9" t="s">
        <v>178</v>
      </c>
      <c r="E108" s="7" t="s">
        <v>102</v>
      </c>
      <c r="F108" s="9" t="s">
        <v>185</v>
      </c>
      <c r="G108" s="9" t="s">
        <v>94</v>
      </c>
      <c r="H108" s="10">
        <v>1640</v>
      </c>
      <c r="I108" s="10">
        <v>2484.8000000000002</v>
      </c>
      <c r="J108" s="11">
        <v>660</v>
      </c>
      <c r="K108" s="9" t="s">
        <v>63</v>
      </c>
    </row>
    <row r="109" spans="1:11" ht="13.5" customHeight="1" x14ac:dyDescent="0.25">
      <c r="A109" s="12" t="s">
        <v>188</v>
      </c>
      <c r="B109" s="12">
        <v>2022</v>
      </c>
      <c r="C109" s="13" t="s">
        <v>59</v>
      </c>
      <c r="D109" s="14" t="s">
        <v>178</v>
      </c>
      <c r="E109" s="12" t="s">
        <v>102</v>
      </c>
      <c r="F109" s="14" t="s">
        <v>185</v>
      </c>
      <c r="G109" s="14" t="s">
        <v>94</v>
      </c>
      <c r="H109" s="15">
        <v>2340</v>
      </c>
      <c r="I109" s="15">
        <v>2659.1</v>
      </c>
      <c r="J109" s="16">
        <v>880</v>
      </c>
      <c r="K109" s="14" t="s">
        <v>63</v>
      </c>
    </row>
    <row r="110" spans="1:11" ht="13.5" customHeight="1" x14ac:dyDescent="0.25">
      <c r="A110" s="7" t="s">
        <v>189</v>
      </c>
      <c r="B110" s="7">
        <v>2023</v>
      </c>
      <c r="C110" s="8" t="s">
        <v>59</v>
      </c>
      <c r="D110" s="9" t="s">
        <v>178</v>
      </c>
      <c r="E110" s="7" t="s">
        <v>102</v>
      </c>
      <c r="F110" s="9" t="s">
        <v>185</v>
      </c>
      <c r="G110" s="9" t="s">
        <v>94</v>
      </c>
      <c r="H110" s="10">
        <v>1940</v>
      </c>
      <c r="I110" s="10">
        <v>2487.1999999999998</v>
      </c>
      <c r="J110" s="11">
        <v>780</v>
      </c>
      <c r="K110" s="9" t="s">
        <v>63</v>
      </c>
    </row>
    <row r="111" spans="1:11" ht="13.5" customHeight="1" x14ac:dyDescent="0.25">
      <c r="A111" s="12" t="s">
        <v>190</v>
      </c>
      <c r="B111" s="12">
        <v>2024</v>
      </c>
      <c r="C111" s="13" t="s">
        <v>59</v>
      </c>
      <c r="D111" s="14" t="s">
        <v>178</v>
      </c>
      <c r="E111" s="12" t="s">
        <v>102</v>
      </c>
      <c r="F111" s="14" t="s">
        <v>185</v>
      </c>
      <c r="G111" s="14" t="s">
        <v>94</v>
      </c>
      <c r="H111" s="15">
        <v>1640</v>
      </c>
      <c r="I111" s="15">
        <v>2157.9</v>
      </c>
      <c r="J111" s="16">
        <v>760</v>
      </c>
      <c r="K111" s="14" t="s">
        <v>63</v>
      </c>
    </row>
    <row r="112" spans="1:11" ht="13.5" customHeight="1" x14ac:dyDescent="0.25">
      <c r="A112" s="7" t="s">
        <v>191</v>
      </c>
      <c r="B112" s="7">
        <v>2019</v>
      </c>
      <c r="C112" s="8" t="s">
        <v>59</v>
      </c>
      <c r="D112" s="9" t="s">
        <v>178</v>
      </c>
      <c r="E112" s="7" t="s">
        <v>102</v>
      </c>
      <c r="F112" s="9" t="s">
        <v>115</v>
      </c>
      <c r="G112" s="9" t="s">
        <v>71</v>
      </c>
      <c r="H112" s="10">
        <v>1540</v>
      </c>
      <c r="I112" s="10">
        <v>2655.2</v>
      </c>
      <c r="J112" s="11">
        <v>580</v>
      </c>
      <c r="K112" s="9" t="s">
        <v>63</v>
      </c>
    </row>
    <row r="113" spans="1:11" ht="13.5" customHeight="1" x14ac:dyDescent="0.25">
      <c r="A113" s="12" t="s">
        <v>192</v>
      </c>
      <c r="B113" s="12">
        <v>2020</v>
      </c>
      <c r="C113" s="13" t="s">
        <v>59</v>
      </c>
      <c r="D113" s="14" t="s">
        <v>178</v>
      </c>
      <c r="E113" s="12" t="s">
        <v>102</v>
      </c>
      <c r="F113" s="14" t="s">
        <v>115</v>
      </c>
      <c r="G113" s="14" t="s">
        <v>71</v>
      </c>
      <c r="H113" s="15">
        <v>960</v>
      </c>
      <c r="I113" s="15">
        <v>2461.5</v>
      </c>
      <c r="J113" s="16">
        <v>390</v>
      </c>
      <c r="K113" s="14" t="s">
        <v>63</v>
      </c>
    </row>
    <row r="114" spans="1:11" ht="13.5" customHeight="1" x14ac:dyDescent="0.25">
      <c r="A114" s="7" t="s">
        <v>193</v>
      </c>
      <c r="B114" s="7">
        <v>2021</v>
      </c>
      <c r="C114" s="8" t="s">
        <v>59</v>
      </c>
      <c r="D114" s="9" t="s">
        <v>178</v>
      </c>
      <c r="E114" s="7" t="s">
        <v>102</v>
      </c>
      <c r="F114" s="9" t="s">
        <v>115</v>
      </c>
      <c r="G114" s="9" t="s">
        <v>71</v>
      </c>
      <c r="H114" s="10">
        <v>1320</v>
      </c>
      <c r="I114" s="10">
        <v>2000</v>
      </c>
      <c r="J114" s="11">
        <v>660</v>
      </c>
      <c r="K114" s="9" t="s">
        <v>63</v>
      </c>
    </row>
    <row r="115" spans="1:11" ht="13.5" customHeight="1" x14ac:dyDescent="0.25">
      <c r="A115" s="12" t="s">
        <v>194</v>
      </c>
      <c r="B115" s="12">
        <v>2022</v>
      </c>
      <c r="C115" s="13" t="s">
        <v>59</v>
      </c>
      <c r="D115" s="14" t="s">
        <v>178</v>
      </c>
      <c r="E115" s="12" t="s">
        <v>102</v>
      </c>
      <c r="F115" s="14" t="s">
        <v>115</v>
      </c>
      <c r="G115" s="14" t="s">
        <v>71</v>
      </c>
      <c r="H115" s="15">
        <v>1940</v>
      </c>
      <c r="I115" s="15">
        <v>2204.5</v>
      </c>
      <c r="J115" s="16">
        <v>880</v>
      </c>
      <c r="K115" s="14" t="s">
        <v>63</v>
      </c>
    </row>
    <row r="116" spans="1:11" ht="13.5" customHeight="1" x14ac:dyDescent="0.25">
      <c r="A116" s="7" t="s">
        <v>195</v>
      </c>
      <c r="B116" s="7">
        <v>2023</v>
      </c>
      <c r="C116" s="8" t="s">
        <v>59</v>
      </c>
      <c r="D116" s="9" t="s">
        <v>178</v>
      </c>
      <c r="E116" s="7" t="s">
        <v>102</v>
      </c>
      <c r="F116" s="9" t="s">
        <v>115</v>
      </c>
      <c r="G116" s="9" t="s">
        <v>71</v>
      </c>
      <c r="H116" s="10">
        <v>1640</v>
      </c>
      <c r="I116" s="10">
        <v>2102.6</v>
      </c>
      <c r="J116" s="11">
        <v>780</v>
      </c>
      <c r="K116" s="9" t="s">
        <v>63</v>
      </c>
    </row>
    <row r="117" spans="1:11" ht="13.5" customHeight="1" x14ac:dyDescent="0.25">
      <c r="A117" s="12" t="s">
        <v>196</v>
      </c>
      <c r="B117" s="12">
        <v>2024</v>
      </c>
      <c r="C117" s="13" t="s">
        <v>59</v>
      </c>
      <c r="D117" s="14" t="s">
        <v>178</v>
      </c>
      <c r="E117" s="12" t="s">
        <v>102</v>
      </c>
      <c r="F117" s="14" t="s">
        <v>115</v>
      </c>
      <c r="G117" s="14" t="s">
        <v>71</v>
      </c>
      <c r="H117" s="15">
        <v>1340</v>
      </c>
      <c r="I117" s="15">
        <v>1763.2</v>
      </c>
      <c r="J117" s="16">
        <v>760</v>
      </c>
      <c r="K117" s="14" t="s">
        <v>63</v>
      </c>
    </row>
    <row r="118" spans="1:11" ht="13.5" customHeight="1" x14ac:dyDescent="0.25">
      <c r="A118" s="7" t="s">
        <v>197</v>
      </c>
      <c r="B118" s="7">
        <v>2019</v>
      </c>
      <c r="C118" s="8" t="s">
        <v>59</v>
      </c>
      <c r="D118" s="9" t="s">
        <v>198</v>
      </c>
      <c r="E118" s="7" t="s">
        <v>199</v>
      </c>
      <c r="F118" s="9" t="s">
        <v>164</v>
      </c>
      <c r="G118" s="9" t="s">
        <v>165</v>
      </c>
      <c r="H118" s="10">
        <v>354</v>
      </c>
      <c r="I118" s="10">
        <v>194.5</v>
      </c>
      <c r="J118" s="11">
        <v>1820</v>
      </c>
      <c r="K118" s="9" t="s">
        <v>63</v>
      </c>
    </row>
    <row r="119" spans="1:11" ht="13.5" customHeight="1" x14ac:dyDescent="0.25">
      <c r="A119" s="12" t="s">
        <v>200</v>
      </c>
      <c r="B119" s="12">
        <v>2020</v>
      </c>
      <c r="C119" s="13" t="s">
        <v>59</v>
      </c>
      <c r="D119" s="14" t="s">
        <v>198</v>
      </c>
      <c r="E119" s="12" t="s">
        <v>199</v>
      </c>
      <c r="F119" s="14" t="s">
        <v>164</v>
      </c>
      <c r="G119" s="14" t="s">
        <v>165</v>
      </c>
      <c r="H119" s="15">
        <v>322</v>
      </c>
      <c r="I119" s="15">
        <v>183</v>
      </c>
      <c r="J119" s="16">
        <v>1760</v>
      </c>
      <c r="K119" s="14" t="s">
        <v>63</v>
      </c>
    </row>
    <row r="120" spans="1:11" ht="13.5" customHeight="1" x14ac:dyDescent="0.25">
      <c r="A120" s="7" t="s">
        <v>201</v>
      </c>
      <c r="B120" s="7">
        <v>2021</v>
      </c>
      <c r="C120" s="8" t="s">
        <v>59</v>
      </c>
      <c r="D120" s="9" t="s">
        <v>198</v>
      </c>
      <c r="E120" s="7" t="s">
        <v>199</v>
      </c>
      <c r="F120" s="9" t="s">
        <v>164</v>
      </c>
      <c r="G120" s="9" t="s">
        <v>165</v>
      </c>
      <c r="H120" s="10">
        <v>394</v>
      </c>
      <c r="I120" s="10">
        <v>186.7</v>
      </c>
      <c r="J120" s="11">
        <v>2110</v>
      </c>
      <c r="K120" s="9" t="s">
        <v>63</v>
      </c>
    </row>
    <row r="121" spans="1:11" ht="13.5" customHeight="1" x14ac:dyDescent="0.25">
      <c r="A121" s="12" t="s">
        <v>202</v>
      </c>
      <c r="B121" s="12">
        <v>2022</v>
      </c>
      <c r="C121" s="13" t="s">
        <v>59</v>
      </c>
      <c r="D121" s="14" t="s">
        <v>198</v>
      </c>
      <c r="E121" s="12" t="s">
        <v>199</v>
      </c>
      <c r="F121" s="14" t="s">
        <v>164</v>
      </c>
      <c r="G121" s="14" t="s">
        <v>165</v>
      </c>
      <c r="H121" s="15">
        <v>526</v>
      </c>
      <c r="I121" s="15">
        <v>212.1</v>
      </c>
      <c r="J121" s="16">
        <v>2480</v>
      </c>
      <c r="K121" s="14" t="s">
        <v>63</v>
      </c>
    </row>
    <row r="122" spans="1:11" ht="13.5" customHeight="1" x14ac:dyDescent="0.25">
      <c r="A122" s="7" t="s">
        <v>203</v>
      </c>
      <c r="B122" s="7">
        <v>2023</v>
      </c>
      <c r="C122" s="8" t="s">
        <v>59</v>
      </c>
      <c r="D122" s="9" t="s">
        <v>198</v>
      </c>
      <c r="E122" s="7" t="s">
        <v>199</v>
      </c>
      <c r="F122" s="9" t="s">
        <v>164</v>
      </c>
      <c r="G122" s="9" t="s">
        <v>165</v>
      </c>
      <c r="H122" s="10">
        <v>484</v>
      </c>
      <c r="I122" s="10">
        <v>206.8</v>
      </c>
      <c r="J122" s="11">
        <v>2340</v>
      </c>
      <c r="K122" s="9" t="s">
        <v>63</v>
      </c>
    </row>
    <row r="123" spans="1:11" ht="13.5" customHeight="1" x14ac:dyDescent="0.25">
      <c r="A123" s="12" t="s">
        <v>204</v>
      </c>
      <c r="B123" s="12">
        <v>2024</v>
      </c>
      <c r="C123" s="13" t="s">
        <v>59</v>
      </c>
      <c r="D123" s="14" t="s">
        <v>198</v>
      </c>
      <c r="E123" s="12" t="s">
        <v>199</v>
      </c>
      <c r="F123" s="14" t="s">
        <v>164</v>
      </c>
      <c r="G123" s="14" t="s">
        <v>165</v>
      </c>
      <c r="H123" s="15">
        <v>458</v>
      </c>
      <c r="I123" s="15">
        <v>176.2</v>
      </c>
      <c r="J123" s="16">
        <v>2600</v>
      </c>
      <c r="K123" s="14" t="s">
        <v>63</v>
      </c>
    </row>
    <row r="124" spans="1:11" ht="13.5" customHeight="1" x14ac:dyDescent="0.25">
      <c r="A124" s="7" t="s">
        <v>205</v>
      </c>
      <c r="B124" s="7">
        <v>2019</v>
      </c>
      <c r="C124" s="8" t="s">
        <v>59</v>
      </c>
      <c r="D124" s="9" t="s">
        <v>198</v>
      </c>
      <c r="E124" s="7" t="s">
        <v>199</v>
      </c>
      <c r="F124" s="9" t="s">
        <v>78</v>
      </c>
      <c r="G124" s="9" t="s">
        <v>79</v>
      </c>
      <c r="H124" s="10">
        <v>284</v>
      </c>
      <c r="I124" s="10">
        <v>156</v>
      </c>
      <c r="J124" s="11">
        <v>1820</v>
      </c>
      <c r="K124" s="9" t="s">
        <v>63</v>
      </c>
    </row>
    <row r="125" spans="1:11" ht="13.5" customHeight="1" x14ac:dyDescent="0.25">
      <c r="A125" s="12" t="s">
        <v>206</v>
      </c>
      <c r="B125" s="12">
        <v>2020</v>
      </c>
      <c r="C125" s="13" t="s">
        <v>59</v>
      </c>
      <c r="D125" s="14" t="s">
        <v>198</v>
      </c>
      <c r="E125" s="12" t="s">
        <v>199</v>
      </c>
      <c r="F125" s="14" t="s">
        <v>78</v>
      </c>
      <c r="G125" s="14" t="s">
        <v>79</v>
      </c>
      <c r="H125" s="15">
        <v>264</v>
      </c>
      <c r="I125" s="15">
        <v>150</v>
      </c>
      <c r="J125" s="16">
        <v>1760</v>
      </c>
      <c r="K125" s="14" t="s">
        <v>63</v>
      </c>
    </row>
    <row r="126" spans="1:11" ht="13.5" customHeight="1" x14ac:dyDescent="0.25">
      <c r="A126" s="7" t="s">
        <v>207</v>
      </c>
      <c r="B126" s="7">
        <v>2021</v>
      </c>
      <c r="C126" s="8" t="s">
        <v>59</v>
      </c>
      <c r="D126" s="9" t="s">
        <v>198</v>
      </c>
      <c r="E126" s="7" t="s">
        <v>199</v>
      </c>
      <c r="F126" s="9" t="s">
        <v>78</v>
      </c>
      <c r="G126" s="9" t="s">
        <v>79</v>
      </c>
      <c r="H126" s="10">
        <v>314</v>
      </c>
      <c r="I126" s="10">
        <v>148.80000000000001</v>
      </c>
      <c r="J126" s="11">
        <v>2110</v>
      </c>
      <c r="K126" s="9" t="s">
        <v>63</v>
      </c>
    </row>
    <row r="127" spans="1:11" ht="13.5" customHeight="1" x14ac:dyDescent="0.25">
      <c r="A127" s="12" t="s">
        <v>208</v>
      </c>
      <c r="B127" s="12">
        <v>2022</v>
      </c>
      <c r="C127" s="13" t="s">
        <v>59</v>
      </c>
      <c r="D127" s="14" t="s">
        <v>198</v>
      </c>
      <c r="E127" s="12" t="s">
        <v>199</v>
      </c>
      <c r="F127" s="14" t="s">
        <v>78</v>
      </c>
      <c r="G127" s="14" t="s">
        <v>79</v>
      </c>
      <c r="H127" s="15">
        <v>426</v>
      </c>
      <c r="I127" s="15">
        <v>171.8</v>
      </c>
      <c r="J127" s="16">
        <v>2480</v>
      </c>
      <c r="K127" s="14" t="s">
        <v>63</v>
      </c>
    </row>
    <row r="128" spans="1:11" ht="13.5" customHeight="1" x14ac:dyDescent="0.25">
      <c r="A128" s="7" t="s">
        <v>209</v>
      </c>
      <c r="B128" s="7">
        <v>2023</v>
      </c>
      <c r="C128" s="8" t="s">
        <v>59</v>
      </c>
      <c r="D128" s="9" t="s">
        <v>198</v>
      </c>
      <c r="E128" s="7" t="s">
        <v>199</v>
      </c>
      <c r="F128" s="9" t="s">
        <v>78</v>
      </c>
      <c r="G128" s="9" t="s">
        <v>79</v>
      </c>
      <c r="H128" s="10">
        <v>384</v>
      </c>
      <c r="I128" s="10">
        <v>164.1</v>
      </c>
      <c r="J128" s="11">
        <v>2340</v>
      </c>
      <c r="K128" s="9" t="s">
        <v>63</v>
      </c>
    </row>
    <row r="129" spans="1:11" ht="13.5" customHeight="1" x14ac:dyDescent="0.25">
      <c r="A129" s="12" t="s">
        <v>210</v>
      </c>
      <c r="B129" s="12">
        <v>2024</v>
      </c>
      <c r="C129" s="13" t="s">
        <v>59</v>
      </c>
      <c r="D129" s="14" t="s">
        <v>198</v>
      </c>
      <c r="E129" s="12" t="s">
        <v>199</v>
      </c>
      <c r="F129" s="14" t="s">
        <v>78</v>
      </c>
      <c r="G129" s="14" t="s">
        <v>79</v>
      </c>
      <c r="H129" s="15">
        <v>364</v>
      </c>
      <c r="I129" s="15">
        <v>140</v>
      </c>
      <c r="J129" s="16">
        <v>2600</v>
      </c>
      <c r="K129" s="14" t="s">
        <v>63</v>
      </c>
    </row>
    <row r="130" spans="1:11" ht="13.5" customHeight="1" x14ac:dyDescent="0.25">
      <c r="A130" s="7" t="s">
        <v>211</v>
      </c>
      <c r="B130" s="7">
        <v>2019</v>
      </c>
      <c r="C130" s="8" t="s">
        <v>59</v>
      </c>
      <c r="D130" s="9" t="s">
        <v>198</v>
      </c>
      <c r="E130" s="7" t="s">
        <v>199</v>
      </c>
      <c r="F130" s="9" t="s">
        <v>115</v>
      </c>
      <c r="G130" s="9" t="s">
        <v>71</v>
      </c>
      <c r="H130" s="10">
        <v>124</v>
      </c>
      <c r="I130" s="10">
        <v>68.099999999999994</v>
      </c>
      <c r="J130" s="11">
        <v>1820</v>
      </c>
      <c r="K130" s="9" t="s">
        <v>63</v>
      </c>
    </row>
    <row r="131" spans="1:11" ht="13.5" customHeight="1" x14ac:dyDescent="0.25">
      <c r="A131" s="12" t="s">
        <v>212</v>
      </c>
      <c r="B131" s="12">
        <v>2020</v>
      </c>
      <c r="C131" s="13" t="s">
        <v>59</v>
      </c>
      <c r="D131" s="14" t="s">
        <v>198</v>
      </c>
      <c r="E131" s="12" t="s">
        <v>199</v>
      </c>
      <c r="F131" s="14" t="s">
        <v>115</v>
      </c>
      <c r="G131" s="14" t="s">
        <v>71</v>
      </c>
      <c r="H131" s="15">
        <v>112</v>
      </c>
      <c r="I131" s="15">
        <v>63.6</v>
      </c>
      <c r="J131" s="16">
        <v>1760</v>
      </c>
      <c r="K131" s="14" t="s">
        <v>63</v>
      </c>
    </row>
    <row r="132" spans="1:11" ht="13.5" customHeight="1" x14ac:dyDescent="0.25">
      <c r="A132" s="7" t="s">
        <v>213</v>
      </c>
      <c r="B132" s="7">
        <v>2021</v>
      </c>
      <c r="C132" s="8" t="s">
        <v>59</v>
      </c>
      <c r="D132" s="9" t="s">
        <v>198</v>
      </c>
      <c r="E132" s="7" t="s">
        <v>199</v>
      </c>
      <c r="F132" s="9" t="s">
        <v>115</v>
      </c>
      <c r="G132" s="9" t="s">
        <v>71</v>
      </c>
      <c r="H132" s="10">
        <v>138</v>
      </c>
      <c r="I132" s="10">
        <v>65.400000000000006</v>
      </c>
      <c r="J132" s="11">
        <v>2110</v>
      </c>
      <c r="K132" s="9" t="s">
        <v>63</v>
      </c>
    </row>
    <row r="133" spans="1:11" ht="13.5" customHeight="1" x14ac:dyDescent="0.25">
      <c r="A133" s="12" t="s">
        <v>214</v>
      </c>
      <c r="B133" s="12">
        <v>2022</v>
      </c>
      <c r="C133" s="13" t="s">
        <v>59</v>
      </c>
      <c r="D133" s="14" t="s">
        <v>198</v>
      </c>
      <c r="E133" s="12" t="s">
        <v>199</v>
      </c>
      <c r="F133" s="14" t="s">
        <v>115</v>
      </c>
      <c r="G133" s="14" t="s">
        <v>71</v>
      </c>
      <c r="H133" s="15">
        <v>184</v>
      </c>
      <c r="I133" s="15">
        <v>74.2</v>
      </c>
      <c r="J133" s="16">
        <v>2480</v>
      </c>
      <c r="K133" s="14" t="s">
        <v>63</v>
      </c>
    </row>
    <row r="134" spans="1:11" ht="13.5" customHeight="1" x14ac:dyDescent="0.25">
      <c r="A134" s="7" t="s">
        <v>215</v>
      </c>
      <c r="B134" s="7">
        <v>2023</v>
      </c>
      <c r="C134" s="8" t="s">
        <v>59</v>
      </c>
      <c r="D134" s="9" t="s">
        <v>198</v>
      </c>
      <c r="E134" s="7" t="s">
        <v>199</v>
      </c>
      <c r="F134" s="9" t="s">
        <v>115</v>
      </c>
      <c r="G134" s="9" t="s">
        <v>71</v>
      </c>
      <c r="H134" s="10">
        <v>168</v>
      </c>
      <c r="I134" s="10">
        <v>71.8</v>
      </c>
      <c r="J134" s="11">
        <v>2340</v>
      </c>
      <c r="K134" s="9" t="s">
        <v>63</v>
      </c>
    </row>
    <row r="135" spans="1:11" ht="13.5" customHeight="1" x14ac:dyDescent="0.25">
      <c r="A135" s="12" t="s">
        <v>216</v>
      </c>
      <c r="B135" s="12">
        <v>2024</v>
      </c>
      <c r="C135" s="13" t="s">
        <v>59</v>
      </c>
      <c r="D135" s="14" t="s">
        <v>198</v>
      </c>
      <c r="E135" s="12" t="s">
        <v>199</v>
      </c>
      <c r="F135" s="14" t="s">
        <v>115</v>
      </c>
      <c r="G135" s="14" t="s">
        <v>71</v>
      </c>
      <c r="H135" s="15">
        <v>158</v>
      </c>
      <c r="I135" s="15">
        <v>60.8</v>
      </c>
      <c r="J135" s="16">
        <v>2600</v>
      </c>
      <c r="K135" s="14" t="s">
        <v>63</v>
      </c>
    </row>
    <row r="136" spans="1:11" ht="13.5" customHeight="1" x14ac:dyDescent="0.25">
      <c r="A136" s="7" t="s">
        <v>217</v>
      </c>
      <c r="B136" s="7">
        <v>2019</v>
      </c>
      <c r="C136" s="17" t="s">
        <v>218</v>
      </c>
      <c r="D136" s="9" t="s">
        <v>219</v>
      </c>
      <c r="E136" s="7" t="s">
        <v>220</v>
      </c>
      <c r="F136" s="9" t="s">
        <v>70</v>
      </c>
      <c r="G136" s="9" t="s">
        <v>71</v>
      </c>
      <c r="H136" s="10">
        <v>4840</v>
      </c>
      <c r="I136" s="10">
        <v>930.8</v>
      </c>
      <c r="J136" s="11">
        <v>5200</v>
      </c>
      <c r="K136" s="9" t="s">
        <v>221</v>
      </c>
    </row>
    <row r="137" spans="1:11" ht="13.5" customHeight="1" x14ac:dyDescent="0.25">
      <c r="A137" s="12" t="s">
        <v>222</v>
      </c>
      <c r="B137" s="12">
        <v>2020</v>
      </c>
      <c r="C137" s="18" t="s">
        <v>218</v>
      </c>
      <c r="D137" s="14" t="s">
        <v>219</v>
      </c>
      <c r="E137" s="12" t="s">
        <v>220</v>
      </c>
      <c r="F137" s="14" t="s">
        <v>70</v>
      </c>
      <c r="G137" s="14" t="s">
        <v>71</v>
      </c>
      <c r="H137" s="15">
        <v>3940</v>
      </c>
      <c r="I137" s="15">
        <v>804.1</v>
      </c>
      <c r="J137" s="16">
        <v>4900</v>
      </c>
      <c r="K137" s="14" t="s">
        <v>221</v>
      </c>
    </row>
    <row r="138" spans="1:11" ht="13.5" customHeight="1" x14ac:dyDescent="0.25">
      <c r="A138" s="7" t="s">
        <v>223</v>
      </c>
      <c r="B138" s="7">
        <v>2021</v>
      </c>
      <c r="C138" s="17" t="s">
        <v>218</v>
      </c>
      <c r="D138" s="9" t="s">
        <v>219</v>
      </c>
      <c r="E138" s="7" t="s">
        <v>220</v>
      </c>
      <c r="F138" s="9" t="s">
        <v>70</v>
      </c>
      <c r="G138" s="9" t="s">
        <v>71</v>
      </c>
      <c r="H138" s="10">
        <v>5240</v>
      </c>
      <c r="I138" s="10">
        <v>952.7</v>
      </c>
      <c r="J138" s="11">
        <v>5500</v>
      </c>
      <c r="K138" s="9" t="s">
        <v>221</v>
      </c>
    </row>
    <row r="139" spans="1:11" ht="13.5" customHeight="1" x14ac:dyDescent="0.25">
      <c r="A139" s="12" t="s">
        <v>224</v>
      </c>
      <c r="B139" s="12">
        <v>2022</v>
      </c>
      <c r="C139" s="18" t="s">
        <v>218</v>
      </c>
      <c r="D139" s="14" t="s">
        <v>219</v>
      </c>
      <c r="E139" s="12" t="s">
        <v>220</v>
      </c>
      <c r="F139" s="14" t="s">
        <v>70</v>
      </c>
      <c r="G139" s="14" t="s">
        <v>71</v>
      </c>
      <c r="H139" s="15">
        <v>6040</v>
      </c>
      <c r="I139" s="15">
        <v>1041.4000000000001</v>
      </c>
      <c r="J139" s="16">
        <v>5800</v>
      </c>
      <c r="K139" s="14" t="s">
        <v>221</v>
      </c>
    </row>
    <row r="140" spans="1:11" ht="13.5" customHeight="1" x14ac:dyDescent="0.25">
      <c r="A140" s="7" t="s">
        <v>225</v>
      </c>
      <c r="B140" s="7">
        <v>2023</v>
      </c>
      <c r="C140" s="17" t="s">
        <v>218</v>
      </c>
      <c r="D140" s="9" t="s">
        <v>219</v>
      </c>
      <c r="E140" s="7" t="s">
        <v>220</v>
      </c>
      <c r="F140" s="9" t="s">
        <v>70</v>
      </c>
      <c r="G140" s="9" t="s">
        <v>71</v>
      </c>
      <c r="H140" s="10">
        <v>5640</v>
      </c>
      <c r="I140" s="10">
        <v>1007.1</v>
      </c>
      <c r="J140" s="11">
        <v>5600</v>
      </c>
      <c r="K140" s="9" t="s">
        <v>221</v>
      </c>
    </row>
    <row r="141" spans="1:11" ht="13.5" customHeight="1" x14ac:dyDescent="0.25">
      <c r="A141" s="12" t="s">
        <v>226</v>
      </c>
      <c r="B141" s="12">
        <v>2024</v>
      </c>
      <c r="C141" s="18" t="s">
        <v>218</v>
      </c>
      <c r="D141" s="14" t="s">
        <v>219</v>
      </c>
      <c r="E141" s="12" t="s">
        <v>220</v>
      </c>
      <c r="F141" s="14" t="s">
        <v>70</v>
      </c>
      <c r="G141" s="14" t="s">
        <v>71</v>
      </c>
      <c r="H141" s="15">
        <v>6440</v>
      </c>
      <c r="I141" s="15">
        <v>1073.3</v>
      </c>
      <c r="J141" s="16">
        <v>6000</v>
      </c>
      <c r="K141" s="14" t="s">
        <v>221</v>
      </c>
    </row>
    <row r="142" spans="1:11" ht="13.5" customHeight="1" x14ac:dyDescent="0.25">
      <c r="A142" s="7" t="s">
        <v>227</v>
      </c>
      <c r="B142" s="7">
        <v>2019</v>
      </c>
      <c r="C142" s="17" t="s">
        <v>218</v>
      </c>
      <c r="D142" s="9" t="s">
        <v>219</v>
      </c>
      <c r="E142" s="7" t="s">
        <v>220</v>
      </c>
      <c r="F142" s="9" t="s">
        <v>185</v>
      </c>
      <c r="G142" s="9" t="s">
        <v>94</v>
      </c>
      <c r="H142" s="10">
        <v>1940</v>
      </c>
      <c r="I142" s="10">
        <v>373.1</v>
      </c>
      <c r="J142" s="11">
        <v>5200</v>
      </c>
      <c r="K142" s="9" t="s">
        <v>221</v>
      </c>
    </row>
    <row r="143" spans="1:11" ht="13.5" customHeight="1" x14ac:dyDescent="0.25">
      <c r="A143" s="12" t="s">
        <v>228</v>
      </c>
      <c r="B143" s="12">
        <v>2020</v>
      </c>
      <c r="C143" s="18" t="s">
        <v>218</v>
      </c>
      <c r="D143" s="14" t="s">
        <v>219</v>
      </c>
      <c r="E143" s="12" t="s">
        <v>220</v>
      </c>
      <c r="F143" s="14" t="s">
        <v>185</v>
      </c>
      <c r="G143" s="14" t="s">
        <v>94</v>
      </c>
      <c r="H143" s="15">
        <v>1640</v>
      </c>
      <c r="I143" s="15">
        <v>334.7</v>
      </c>
      <c r="J143" s="16">
        <v>4900</v>
      </c>
      <c r="K143" s="14" t="s">
        <v>221</v>
      </c>
    </row>
    <row r="144" spans="1:11" ht="13.5" customHeight="1" x14ac:dyDescent="0.25">
      <c r="A144" s="7" t="s">
        <v>229</v>
      </c>
      <c r="B144" s="7">
        <v>2021</v>
      </c>
      <c r="C144" s="17" t="s">
        <v>218</v>
      </c>
      <c r="D144" s="9" t="s">
        <v>219</v>
      </c>
      <c r="E144" s="7" t="s">
        <v>220</v>
      </c>
      <c r="F144" s="9" t="s">
        <v>185</v>
      </c>
      <c r="G144" s="9" t="s">
        <v>94</v>
      </c>
      <c r="H144" s="10">
        <v>2140</v>
      </c>
      <c r="I144" s="10">
        <v>389.1</v>
      </c>
      <c r="J144" s="11">
        <v>5500</v>
      </c>
      <c r="K144" s="9" t="s">
        <v>221</v>
      </c>
    </row>
    <row r="145" spans="1:11" ht="13.5" customHeight="1" x14ac:dyDescent="0.25">
      <c r="A145" s="12" t="s">
        <v>230</v>
      </c>
      <c r="B145" s="12">
        <v>2022</v>
      </c>
      <c r="C145" s="18" t="s">
        <v>218</v>
      </c>
      <c r="D145" s="14" t="s">
        <v>219</v>
      </c>
      <c r="E145" s="12" t="s">
        <v>220</v>
      </c>
      <c r="F145" s="14" t="s">
        <v>185</v>
      </c>
      <c r="G145" s="14" t="s">
        <v>94</v>
      </c>
      <c r="H145" s="15">
        <v>2440</v>
      </c>
      <c r="I145" s="15">
        <v>420.7</v>
      </c>
      <c r="J145" s="16">
        <v>5800</v>
      </c>
      <c r="K145" s="14" t="s">
        <v>221</v>
      </c>
    </row>
    <row r="146" spans="1:11" ht="13.5" customHeight="1" x14ac:dyDescent="0.25">
      <c r="A146" s="7" t="s">
        <v>231</v>
      </c>
      <c r="B146" s="7">
        <v>2023</v>
      </c>
      <c r="C146" s="17" t="s">
        <v>218</v>
      </c>
      <c r="D146" s="9" t="s">
        <v>219</v>
      </c>
      <c r="E146" s="7" t="s">
        <v>220</v>
      </c>
      <c r="F146" s="9" t="s">
        <v>185</v>
      </c>
      <c r="G146" s="9" t="s">
        <v>94</v>
      </c>
      <c r="H146" s="10">
        <v>2240</v>
      </c>
      <c r="I146" s="10">
        <v>400</v>
      </c>
      <c r="J146" s="11">
        <v>5600</v>
      </c>
      <c r="K146" s="9" t="s">
        <v>221</v>
      </c>
    </row>
    <row r="147" spans="1:11" ht="13.5" customHeight="1" x14ac:dyDescent="0.25">
      <c r="A147" s="12" t="s">
        <v>232</v>
      </c>
      <c r="B147" s="12">
        <v>2024</v>
      </c>
      <c r="C147" s="18" t="s">
        <v>218</v>
      </c>
      <c r="D147" s="14" t="s">
        <v>219</v>
      </c>
      <c r="E147" s="12" t="s">
        <v>220</v>
      </c>
      <c r="F147" s="14" t="s">
        <v>185</v>
      </c>
      <c r="G147" s="14" t="s">
        <v>94</v>
      </c>
      <c r="H147" s="15">
        <v>2540</v>
      </c>
      <c r="I147" s="15">
        <v>423.3</v>
      </c>
      <c r="J147" s="16">
        <v>6000</v>
      </c>
      <c r="K147" s="14" t="s">
        <v>221</v>
      </c>
    </row>
    <row r="148" spans="1:11" ht="13.5" customHeight="1" x14ac:dyDescent="0.25">
      <c r="A148" s="7" t="s">
        <v>233</v>
      </c>
      <c r="B148" s="7">
        <v>2019</v>
      </c>
      <c r="C148" s="17" t="s">
        <v>218</v>
      </c>
      <c r="D148" s="9" t="s">
        <v>219</v>
      </c>
      <c r="E148" s="7" t="s">
        <v>220</v>
      </c>
      <c r="F148" s="9" t="s">
        <v>122</v>
      </c>
      <c r="G148" s="9" t="s">
        <v>71</v>
      </c>
      <c r="H148" s="10">
        <v>1640</v>
      </c>
      <c r="I148" s="10">
        <v>315.39999999999998</v>
      </c>
      <c r="J148" s="11">
        <v>5200</v>
      </c>
      <c r="K148" s="9" t="s">
        <v>221</v>
      </c>
    </row>
    <row r="149" spans="1:11" ht="13.5" customHeight="1" x14ac:dyDescent="0.25">
      <c r="A149" s="12" t="s">
        <v>234</v>
      </c>
      <c r="B149" s="12">
        <v>2020</v>
      </c>
      <c r="C149" s="18" t="s">
        <v>218</v>
      </c>
      <c r="D149" s="14" t="s">
        <v>219</v>
      </c>
      <c r="E149" s="12" t="s">
        <v>220</v>
      </c>
      <c r="F149" s="14" t="s">
        <v>122</v>
      </c>
      <c r="G149" s="14" t="s">
        <v>71</v>
      </c>
      <c r="H149" s="15">
        <v>1340</v>
      </c>
      <c r="I149" s="15">
        <v>273.5</v>
      </c>
      <c r="J149" s="16">
        <v>4900</v>
      </c>
      <c r="K149" s="14" t="s">
        <v>221</v>
      </c>
    </row>
    <row r="150" spans="1:11" ht="13.5" customHeight="1" x14ac:dyDescent="0.25">
      <c r="A150" s="7" t="s">
        <v>235</v>
      </c>
      <c r="B150" s="7">
        <v>2021</v>
      </c>
      <c r="C150" s="17" t="s">
        <v>218</v>
      </c>
      <c r="D150" s="9" t="s">
        <v>219</v>
      </c>
      <c r="E150" s="7" t="s">
        <v>220</v>
      </c>
      <c r="F150" s="9" t="s">
        <v>122</v>
      </c>
      <c r="G150" s="9" t="s">
        <v>71</v>
      </c>
      <c r="H150" s="10">
        <v>1740</v>
      </c>
      <c r="I150" s="10">
        <v>316.39999999999998</v>
      </c>
      <c r="J150" s="11">
        <v>5500</v>
      </c>
      <c r="K150" s="9" t="s">
        <v>221</v>
      </c>
    </row>
    <row r="151" spans="1:11" ht="13.5" customHeight="1" x14ac:dyDescent="0.25">
      <c r="A151" s="12" t="s">
        <v>236</v>
      </c>
      <c r="B151" s="12">
        <v>2022</v>
      </c>
      <c r="C151" s="18" t="s">
        <v>218</v>
      </c>
      <c r="D151" s="14" t="s">
        <v>219</v>
      </c>
      <c r="E151" s="12" t="s">
        <v>220</v>
      </c>
      <c r="F151" s="14" t="s">
        <v>122</v>
      </c>
      <c r="G151" s="14" t="s">
        <v>71</v>
      </c>
      <c r="H151" s="15">
        <v>2040</v>
      </c>
      <c r="I151" s="15">
        <v>351.7</v>
      </c>
      <c r="J151" s="16">
        <v>5800</v>
      </c>
      <c r="K151" s="14" t="s">
        <v>221</v>
      </c>
    </row>
    <row r="152" spans="1:11" ht="13.5" customHeight="1" x14ac:dyDescent="0.25">
      <c r="A152" s="7" t="s">
        <v>237</v>
      </c>
      <c r="B152" s="7">
        <v>2023</v>
      </c>
      <c r="C152" s="17" t="s">
        <v>218</v>
      </c>
      <c r="D152" s="9" t="s">
        <v>219</v>
      </c>
      <c r="E152" s="7" t="s">
        <v>220</v>
      </c>
      <c r="F152" s="9" t="s">
        <v>122</v>
      </c>
      <c r="G152" s="9" t="s">
        <v>71</v>
      </c>
      <c r="H152" s="10">
        <v>1840</v>
      </c>
      <c r="I152" s="10">
        <v>328.6</v>
      </c>
      <c r="J152" s="11">
        <v>5600</v>
      </c>
      <c r="K152" s="9" t="s">
        <v>221</v>
      </c>
    </row>
    <row r="153" spans="1:11" ht="13.5" customHeight="1" x14ac:dyDescent="0.25">
      <c r="A153" s="12" t="s">
        <v>238</v>
      </c>
      <c r="B153" s="12">
        <v>2024</v>
      </c>
      <c r="C153" s="18" t="s">
        <v>218</v>
      </c>
      <c r="D153" s="14" t="s">
        <v>219</v>
      </c>
      <c r="E153" s="12" t="s">
        <v>220</v>
      </c>
      <c r="F153" s="14" t="s">
        <v>122</v>
      </c>
      <c r="G153" s="14" t="s">
        <v>71</v>
      </c>
      <c r="H153" s="15">
        <v>2140</v>
      </c>
      <c r="I153" s="15">
        <v>356.7</v>
      </c>
      <c r="J153" s="16">
        <v>6000</v>
      </c>
      <c r="K153" s="14" t="s">
        <v>221</v>
      </c>
    </row>
    <row r="154" spans="1:11" ht="13.5" customHeight="1" x14ac:dyDescent="0.25">
      <c r="A154" s="7" t="s">
        <v>239</v>
      </c>
      <c r="B154" s="7">
        <v>2019</v>
      </c>
      <c r="C154" s="17" t="s">
        <v>218</v>
      </c>
      <c r="D154" s="9" t="s">
        <v>219</v>
      </c>
      <c r="E154" s="7" t="s">
        <v>220</v>
      </c>
      <c r="F154" s="9" t="s">
        <v>115</v>
      </c>
      <c r="G154" s="9" t="s">
        <v>71</v>
      </c>
      <c r="H154" s="10">
        <v>1440</v>
      </c>
      <c r="I154" s="10">
        <v>276.89999999999998</v>
      </c>
      <c r="J154" s="11">
        <v>5200</v>
      </c>
      <c r="K154" s="9" t="s">
        <v>221</v>
      </c>
    </row>
    <row r="155" spans="1:11" ht="13.5" customHeight="1" x14ac:dyDescent="0.25">
      <c r="A155" s="12" t="s">
        <v>240</v>
      </c>
      <c r="B155" s="12">
        <v>2020</v>
      </c>
      <c r="C155" s="18" t="s">
        <v>218</v>
      </c>
      <c r="D155" s="14" t="s">
        <v>219</v>
      </c>
      <c r="E155" s="12" t="s">
        <v>220</v>
      </c>
      <c r="F155" s="14" t="s">
        <v>115</v>
      </c>
      <c r="G155" s="14" t="s">
        <v>71</v>
      </c>
      <c r="H155" s="15">
        <v>1140</v>
      </c>
      <c r="I155" s="15">
        <v>232.7</v>
      </c>
      <c r="J155" s="16">
        <v>4900</v>
      </c>
      <c r="K155" s="14" t="s">
        <v>221</v>
      </c>
    </row>
    <row r="156" spans="1:11" ht="13.5" customHeight="1" x14ac:dyDescent="0.25">
      <c r="A156" s="7" t="s">
        <v>241</v>
      </c>
      <c r="B156" s="7">
        <v>2021</v>
      </c>
      <c r="C156" s="17" t="s">
        <v>218</v>
      </c>
      <c r="D156" s="9" t="s">
        <v>219</v>
      </c>
      <c r="E156" s="7" t="s">
        <v>220</v>
      </c>
      <c r="F156" s="9" t="s">
        <v>115</v>
      </c>
      <c r="G156" s="9" t="s">
        <v>71</v>
      </c>
      <c r="H156" s="10">
        <v>1540</v>
      </c>
      <c r="I156" s="10">
        <v>280</v>
      </c>
      <c r="J156" s="11">
        <v>5500</v>
      </c>
      <c r="K156" s="9" t="s">
        <v>221</v>
      </c>
    </row>
    <row r="157" spans="1:11" ht="13.5" customHeight="1" x14ac:dyDescent="0.25">
      <c r="A157" s="12" t="s">
        <v>242</v>
      </c>
      <c r="B157" s="12">
        <v>2022</v>
      </c>
      <c r="C157" s="18" t="s">
        <v>218</v>
      </c>
      <c r="D157" s="14" t="s">
        <v>219</v>
      </c>
      <c r="E157" s="12" t="s">
        <v>220</v>
      </c>
      <c r="F157" s="14" t="s">
        <v>115</v>
      </c>
      <c r="G157" s="14" t="s">
        <v>71</v>
      </c>
      <c r="H157" s="15">
        <v>1740</v>
      </c>
      <c r="I157" s="15">
        <v>300</v>
      </c>
      <c r="J157" s="16">
        <v>5800</v>
      </c>
      <c r="K157" s="14" t="s">
        <v>221</v>
      </c>
    </row>
    <row r="158" spans="1:11" ht="13.5" customHeight="1" x14ac:dyDescent="0.25">
      <c r="A158" s="7" t="s">
        <v>243</v>
      </c>
      <c r="B158" s="7">
        <v>2023</v>
      </c>
      <c r="C158" s="17" t="s">
        <v>218</v>
      </c>
      <c r="D158" s="9" t="s">
        <v>219</v>
      </c>
      <c r="E158" s="7" t="s">
        <v>220</v>
      </c>
      <c r="F158" s="9" t="s">
        <v>115</v>
      </c>
      <c r="G158" s="9" t="s">
        <v>71</v>
      </c>
      <c r="H158" s="10">
        <v>1640</v>
      </c>
      <c r="I158" s="10">
        <v>292.89999999999998</v>
      </c>
      <c r="J158" s="11">
        <v>5600</v>
      </c>
      <c r="K158" s="9" t="s">
        <v>221</v>
      </c>
    </row>
    <row r="159" spans="1:11" ht="13.5" customHeight="1" x14ac:dyDescent="0.25">
      <c r="A159" s="12" t="s">
        <v>244</v>
      </c>
      <c r="B159" s="12">
        <v>2024</v>
      </c>
      <c r="C159" s="18" t="s">
        <v>218</v>
      </c>
      <c r="D159" s="14" t="s">
        <v>219</v>
      </c>
      <c r="E159" s="12" t="s">
        <v>220</v>
      </c>
      <c r="F159" s="14" t="s">
        <v>115</v>
      </c>
      <c r="G159" s="14" t="s">
        <v>71</v>
      </c>
      <c r="H159" s="15">
        <v>1840</v>
      </c>
      <c r="I159" s="15">
        <v>306.7</v>
      </c>
      <c r="J159" s="16">
        <v>6000</v>
      </c>
      <c r="K159" s="14" t="s">
        <v>221</v>
      </c>
    </row>
    <row r="160" spans="1:11" ht="13.5" customHeight="1" x14ac:dyDescent="0.25">
      <c r="A160" s="7" t="s">
        <v>245</v>
      </c>
      <c r="B160" s="7">
        <v>2019</v>
      </c>
      <c r="C160" s="17" t="s">
        <v>218</v>
      </c>
      <c r="D160" s="9" t="s">
        <v>219</v>
      </c>
      <c r="E160" s="7" t="s">
        <v>220</v>
      </c>
      <c r="F160" s="9" t="s">
        <v>164</v>
      </c>
      <c r="G160" s="9" t="s">
        <v>165</v>
      </c>
      <c r="H160" s="10">
        <v>920</v>
      </c>
      <c r="I160" s="10">
        <v>176.9</v>
      </c>
      <c r="J160" s="11">
        <v>5200</v>
      </c>
      <c r="K160" s="9" t="s">
        <v>221</v>
      </c>
    </row>
    <row r="161" spans="1:11" ht="13.5" customHeight="1" x14ac:dyDescent="0.25">
      <c r="A161" s="12" t="s">
        <v>246</v>
      </c>
      <c r="B161" s="12">
        <v>2020</v>
      </c>
      <c r="C161" s="18" t="s">
        <v>218</v>
      </c>
      <c r="D161" s="14" t="s">
        <v>219</v>
      </c>
      <c r="E161" s="12" t="s">
        <v>220</v>
      </c>
      <c r="F161" s="14" t="s">
        <v>164</v>
      </c>
      <c r="G161" s="14" t="s">
        <v>165</v>
      </c>
      <c r="H161" s="15">
        <v>760</v>
      </c>
      <c r="I161" s="15">
        <v>155.1</v>
      </c>
      <c r="J161" s="16">
        <v>4900</v>
      </c>
      <c r="K161" s="14" t="s">
        <v>221</v>
      </c>
    </row>
    <row r="162" spans="1:11" ht="13.5" customHeight="1" x14ac:dyDescent="0.25">
      <c r="A162" s="7" t="s">
        <v>247</v>
      </c>
      <c r="B162" s="7">
        <v>2021</v>
      </c>
      <c r="C162" s="17" t="s">
        <v>218</v>
      </c>
      <c r="D162" s="9" t="s">
        <v>219</v>
      </c>
      <c r="E162" s="7" t="s">
        <v>220</v>
      </c>
      <c r="F162" s="9" t="s">
        <v>164</v>
      </c>
      <c r="G162" s="9" t="s">
        <v>165</v>
      </c>
      <c r="H162" s="10">
        <v>1020</v>
      </c>
      <c r="I162" s="10">
        <v>185.5</v>
      </c>
      <c r="J162" s="11">
        <v>5500</v>
      </c>
      <c r="K162" s="9" t="s">
        <v>221</v>
      </c>
    </row>
    <row r="163" spans="1:11" ht="13.5" customHeight="1" x14ac:dyDescent="0.25">
      <c r="A163" s="12" t="s">
        <v>248</v>
      </c>
      <c r="B163" s="12">
        <v>2022</v>
      </c>
      <c r="C163" s="18" t="s">
        <v>218</v>
      </c>
      <c r="D163" s="14" t="s">
        <v>219</v>
      </c>
      <c r="E163" s="12" t="s">
        <v>220</v>
      </c>
      <c r="F163" s="14" t="s">
        <v>164</v>
      </c>
      <c r="G163" s="14" t="s">
        <v>165</v>
      </c>
      <c r="H163" s="15">
        <v>1120</v>
      </c>
      <c r="I163" s="15">
        <v>193.1</v>
      </c>
      <c r="J163" s="16">
        <v>5800</v>
      </c>
      <c r="K163" s="14" t="s">
        <v>221</v>
      </c>
    </row>
    <row r="164" spans="1:11" ht="13.5" customHeight="1" x14ac:dyDescent="0.25">
      <c r="A164" s="7" t="s">
        <v>249</v>
      </c>
      <c r="B164" s="7">
        <v>2023</v>
      </c>
      <c r="C164" s="17" t="s">
        <v>218</v>
      </c>
      <c r="D164" s="9" t="s">
        <v>219</v>
      </c>
      <c r="E164" s="7" t="s">
        <v>220</v>
      </c>
      <c r="F164" s="9" t="s">
        <v>164</v>
      </c>
      <c r="G164" s="9" t="s">
        <v>165</v>
      </c>
      <c r="H164" s="10">
        <v>1060</v>
      </c>
      <c r="I164" s="10">
        <v>189.3</v>
      </c>
      <c r="J164" s="11">
        <v>5600</v>
      </c>
      <c r="K164" s="9" t="s">
        <v>221</v>
      </c>
    </row>
    <row r="165" spans="1:11" ht="13.5" customHeight="1" x14ac:dyDescent="0.25">
      <c r="A165" s="12" t="s">
        <v>250</v>
      </c>
      <c r="B165" s="12">
        <v>2024</v>
      </c>
      <c r="C165" s="18" t="s">
        <v>218</v>
      </c>
      <c r="D165" s="14" t="s">
        <v>219</v>
      </c>
      <c r="E165" s="12" t="s">
        <v>220</v>
      </c>
      <c r="F165" s="14" t="s">
        <v>164</v>
      </c>
      <c r="G165" s="14" t="s">
        <v>165</v>
      </c>
      <c r="H165" s="15">
        <v>1220</v>
      </c>
      <c r="I165" s="15">
        <v>203.3</v>
      </c>
      <c r="J165" s="16">
        <v>6000</v>
      </c>
      <c r="K165" s="14" t="s">
        <v>221</v>
      </c>
    </row>
    <row r="166" spans="1:11" ht="13.5" customHeight="1" x14ac:dyDescent="0.25">
      <c r="A166" s="7" t="s">
        <v>251</v>
      </c>
      <c r="B166" s="7">
        <v>2019</v>
      </c>
      <c r="C166" s="17" t="s">
        <v>218</v>
      </c>
      <c r="D166" s="9" t="s">
        <v>252</v>
      </c>
      <c r="E166" s="7" t="s">
        <v>253</v>
      </c>
      <c r="F166" s="9" t="s">
        <v>70</v>
      </c>
      <c r="G166" s="9" t="s">
        <v>71</v>
      </c>
      <c r="H166" s="10">
        <v>5540</v>
      </c>
      <c r="I166" s="10">
        <v>1731.2</v>
      </c>
      <c r="J166" s="11">
        <v>3200</v>
      </c>
      <c r="K166" s="9" t="s">
        <v>63</v>
      </c>
    </row>
    <row r="167" spans="1:11" ht="13.5" customHeight="1" x14ac:dyDescent="0.25">
      <c r="A167" s="12" t="s">
        <v>254</v>
      </c>
      <c r="B167" s="12">
        <v>2020</v>
      </c>
      <c r="C167" s="18" t="s">
        <v>218</v>
      </c>
      <c r="D167" s="14" t="s">
        <v>252</v>
      </c>
      <c r="E167" s="12" t="s">
        <v>253</v>
      </c>
      <c r="F167" s="14" t="s">
        <v>70</v>
      </c>
      <c r="G167" s="14" t="s">
        <v>71</v>
      </c>
      <c r="H167" s="15">
        <v>4240</v>
      </c>
      <c r="I167" s="15">
        <v>1413.3</v>
      </c>
      <c r="J167" s="16">
        <v>3000</v>
      </c>
      <c r="K167" s="14" t="s">
        <v>63</v>
      </c>
    </row>
    <row r="168" spans="1:11" ht="13.5" customHeight="1" x14ac:dyDescent="0.25">
      <c r="A168" s="7" t="s">
        <v>255</v>
      </c>
      <c r="B168" s="7">
        <v>2021</v>
      </c>
      <c r="C168" s="17" t="s">
        <v>218</v>
      </c>
      <c r="D168" s="9" t="s">
        <v>252</v>
      </c>
      <c r="E168" s="7" t="s">
        <v>253</v>
      </c>
      <c r="F168" s="9" t="s">
        <v>70</v>
      </c>
      <c r="G168" s="9" t="s">
        <v>71</v>
      </c>
      <c r="H168" s="10">
        <v>5840</v>
      </c>
      <c r="I168" s="10">
        <v>1769.7</v>
      </c>
      <c r="J168" s="11">
        <v>3300</v>
      </c>
      <c r="K168" s="9" t="s">
        <v>63</v>
      </c>
    </row>
    <row r="169" spans="1:11" ht="13.5" customHeight="1" x14ac:dyDescent="0.25">
      <c r="A169" s="12" t="s">
        <v>256</v>
      </c>
      <c r="B169" s="12">
        <v>2022</v>
      </c>
      <c r="C169" s="18" t="s">
        <v>218</v>
      </c>
      <c r="D169" s="14" t="s">
        <v>252</v>
      </c>
      <c r="E169" s="12" t="s">
        <v>253</v>
      </c>
      <c r="F169" s="14" t="s">
        <v>70</v>
      </c>
      <c r="G169" s="14" t="s">
        <v>71</v>
      </c>
      <c r="H169" s="15">
        <v>7240</v>
      </c>
      <c r="I169" s="15">
        <v>2011.1</v>
      </c>
      <c r="J169" s="16">
        <v>3600</v>
      </c>
      <c r="K169" s="14" t="s">
        <v>63</v>
      </c>
    </row>
    <row r="170" spans="1:11" ht="13.5" customHeight="1" x14ac:dyDescent="0.25">
      <c r="A170" s="7" t="s">
        <v>257</v>
      </c>
      <c r="B170" s="7">
        <v>2023</v>
      </c>
      <c r="C170" s="17" t="s">
        <v>218</v>
      </c>
      <c r="D170" s="9" t="s">
        <v>252</v>
      </c>
      <c r="E170" s="7" t="s">
        <v>253</v>
      </c>
      <c r="F170" s="9" t="s">
        <v>70</v>
      </c>
      <c r="G170" s="9" t="s">
        <v>71</v>
      </c>
      <c r="H170" s="10">
        <v>6540</v>
      </c>
      <c r="I170" s="10">
        <v>1868.6</v>
      </c>
      <c r="J170" s="11">
        <v>3500</v>
      </c>
      <c r="K170" s="9" t="s">
        <v>63</v>
      </c>
    </row>
    <row r="171" spans="1:11" ht="13.5" customHeight="1" x14ac:dyDescent="0.25">
      <c r="A171" s="12" t="s">
        <v>258</v>
      </c>
      <c r="B171" s="12">
        <v>2024</v>
      </c>
      <c r="C171" s="18" t="s">
        <v>218</v>
      </c>
      <c r="D171" s="14" t="s">
        <v>252</v>
      </c>
      <c r="E171" s="12" t="s">
        <v>253</v>
      </c>
      <c r="F171" s="14" t="s">
        <v>70</v>
      </c>
      <c r="G171" s="14" t="s">
        <v>71</v>
      </c>
      <c r="H171" s="15">
        <v>7340</v>
      </c>
      <c r="I171" s="15">
        <v>1983.8</v>
      </c>
      <c r="J171" s="16">
        <v>3700</v>
      </c>
      <c r="K171" s="14" t="s">
        <v>63</v>
      </c>
    </row>
    <row r="172" spans="1:11" ht="13.5" customHeight="1" x14ac:dyDescent="0.25">
      <c r="A172" s="7" t="s">
        <v>259</v>
      </c>
      <c r="B172" s="7">
        <v>2019</v>
      </c>
      <c r="C172" s="17" t="s">
        <v>218</v>
      </c>
      <c r="D172" s="9" t="s">
        <v>252</v>
      </c>
      <c r="E172" s="7" t="s">
        <v>253</v>
      </c>
      <c r="F172" s="9" t="s">
        <v>115</v>
      </c>
      <c r="G172" s="9" t="s">
        <v>71</v>
      </c>
      <c r="H172" s="10">
        <v>2840</v>
      </c>
      <c r="I172" s="10">
        <v>887.5</v>
      </c>
      <c r="J172" s="11">
        <v>3200</v>
      </c>
      <c r="K172" s="9" t="s">
        <v>63</v>
      </c>
    </row>
    <row r="173" spans="1:11" ht="13.5" customHeight="1" x14ac:dyDescent="0.25">
      <c r="A173" s="12" t="s">
        <v>260</v>
      </c>
      <c r="B173" s="12">
        <v>2020</v>
      </c>
      <c r="C173" s="18" t="s">
        <v>218</v>
      </c>
      <c r="D173" s="14" t="s">
        <v>252</v>
      </c>
      <c r="E173" s="12" t="s">
        <v>253</v>
      </c>
      <c r="F173" s="14" t="s">
        <v>115</v>
      </c>
      <c r="G173" s="14" t="s">
        <v>71</v>
      </c>
      <c r="H173" s="15">
        <v>2240</v>
      </c>
      <c r="I173" s="15">
        <v>746.7</v>
      </c>
      <c r="J173" s="16">
        <v>3000</v>
      </c>
      <c r="K173" s="14" t="s">
        <v>63</v>
      </c>
    </row>
    <row r="174" spans="1:11" ht="13.5" customHeight="1" x14ac:dyDescent="0.25">
      <c r="A174" s="7" t="s">
        <v>261</v>
      </c>
      <c r="B174" s="7">
        <v>2021</v>
      </c>
      <c r="C174" s="17" t="s">
        <v>218</v>
      </c>
      <c r="D174" s="9" t="s">
        <v>252</v>
      </c>
      <c r="E174" s="7" t="s">
        <v>253</v>
      </c>
      <c r="F174" s="9" t="s">
        <v>115</v>
      </c>
      <c r="G174" s="9" t="s">
        <v>71</v>
      </c>
      <c r="H174" s="10">
        <v>2940</v>
      </c>
      <c r="I174" s="10">
        <v>890.9</v>
      </c>
      <c r="J174" s="11">
        <v>3300</v>
      </c>
      <c r="K174" s="9" t="s">
        <v>63</v>
      </c>
    </row>
    <row r="175" spans="1:11" ht="13.5" customHeight="1" x14ac:dyDescent="0.25">
      <c r="A175" s="12" t="s">
        <v>262</v>
      </c>
      <c r="B175" s="12">
        <v>2022</v>
      </c>
      <c r="C175" s="18" t="s">
        <v>218</v>
      </c>
      <c r="D175" s="14" t="s">
        <v>252</v>
      </c>
      <c r="E175" s="12" t="s">
        <v>253</v>
      </c>
      <c r="F175" s="14" t="s">
        <v>115</v>
      </c>
      <c r="G175" s="14" t="s">
        <v>71</v>
      </c>
      <c r="H175" s="15">
        <v>3640</v>
      </c>
      <c r="I175" s="15">
        <v>1011.1</v>
      </c>
      <c r="J175" s="16">
        <v>3600</v>
      </c>
      <c r="K175" s="14" t="s">
        <v>63</v>
      </c>
    </row>
    <row r="176" spans="1:11" ht="13.5" customHeight="1" x14ac:dyDescent="0.25">
      <c r="A176" s="7" t="s">
        <v>263</v>
      </c>
      <c r="B176" s="7">
        <v>2023</v>
      </c>
      <c r="C176" s="17" t="s">
        <v>218</v>
      </c>
      <c r="D176" s="9" t="s">
        <v>252</v>
      </c>
      <c r="E176" s="7" t="s">
        <v>253</v>
      </c>
      <c r="F176" s="9" t="s">
        <v>115</v>
      </c>
      <c r="G176" s="9" t="s">
        <v>71</v>
      </c>
      <c r="H176" s="10">
        <v>3240</v>
      </c>
      <c r="I176" s="10">
        <v>925.7</v>
      </c>
      <c r="J176" s="11">
        <v>3500</v>
      </c>
      <c r="K176" s="9" t="s">
        <v>63</v>
      </c>
    </row>
    <row r="177" spans="1:11" ht="13.5" customHeight="1" x14ac:dyDescent="0.25">
      <c r="A177" s="12" t="s">
        <v>264</v>
      </c>
      <c r="B177" s="12">
        <v>2024</v>
      </c>
      <c r="C177" s="18" t="s">
        <v>218</v>
      </c>
      <c r="D177" s="14" t="s">
        <v>252</v>
      </c>
      <c r="E177" s="12" t="s">
        <v>253</v>
      </c>
      <c r="F177" s="14" t="s">
        <v>115</v>
      </c>
      <c r="G177" s="14" t="s">
        <v>71</v>
      </c>
      <c r="H177" s="15">
        <v>3640</v>
      </c>
      <c r="I177" s="15">
        <v>983.8</v>
      </c>
      <c r="J177" s="16">
        <v>3700</v>
      </c>
      <c r="K177" s="14" t="s">
        <v>63</v>
      </c>
    </row>
    <row r="178" spans="1:11" ht="13.5" customHeight="1" x14ac:dyDescent="0.25">
      <c r="A178" s="7" t="s">
        <v>265</v>
      </c>
      <c r="B178" s="7">
        <v>2019</v>
      </c>
      <c r="C178" s="17" t="s">
        <v>218</v>
      </c>
      <c r="D178" s="9" t="s">
        <v>252</v>
      </c>
      <c r="E178" s="7" t="s">
        <v>253</v>
      </c>
      <c r="F178" s="9" t="s">
        <v>266</v>
      </c>
      <c r="G178" s="9" t="s">
        <v>79</v>
      </c>
      <c r="H178" s="10">
        <v>1840</v>
      </c>
      <c r="I178" s="10">
        <v>575</v>
      </c>
      <c r="J178" s="11">
        <v>3200</v>
      </c>
      <c r="K178" s="9" t="s">
        <v>63</v>
      </c>
    </row>
    <row r="179" spans="1:11" ht="13.5" customHeight="1" x14ac:dyDescent="0.25">
      <c r="A179" s="12" t="s">
        <v>267</v>
      </c>
      <c r="B179" s="12">
        <v>2020</v>
      </c>
      <c r="C179" s="18" t="s">
        <v>218</v>
      </c>
      <c r="D179" s="14" t="s">
        <v>252</v>
      </c>
      <c r="E179" s="12" t="s">
        <v>253</v>
      </c>
      <c r="F179" s="14" t="s">
        <v>266</v>
      </c>
      <c r="G179" s="14" t="s">
        <v>79</v>
      </c>
      <c r="H179" s="15">
        <v>1440</v>
      </c>
      <c r="I179" s="15">
        <v>480</v>
      </c>
      <c r="J179" s="16">
        <v>3000</v>
      </c>
      <c r="K179" s="14" t="s">
        <v>63</v>
      </c>
    </row>
    <row r="180" spans="1:11" ht="13.5" customHeight="1" x14ac:dyDescent="0.25">
      <c r="A180" s="7" t="s">
        <v>268</v>
      </c>
      <c r="B180" s="7">
        <v>2021</v>
      </c>
      <c r="C180" s="17" t="s">
        <v>218</v>
      </c>
      <c r="D180" s="9" t="s">
        <v>252</v>
      </c>
      <c r="E180" s="7" t="s">
        <v>253</v>
      </c>
      <c r="F180" s="9" t="s">
        <v>266</v>
      </c>
      <c r="G180" s="9" t="s">
        <v>79</v>
      </c>
      <c r="H180" s="10">
        <v>1940</v>
      </c>
      <c r="I180" s="10">
        <v>587.9</v>
      </c>
      <c r="J180" s="11">
        <v>3300</v>
      </c>
      <c r="K180" s="9" t="s">
        <v>63</v>
      </c>
    </row>
    <row r="181" spans="1:11" ht="13.5" customHeight="1" x14ac:dyDescent="0.25">
      <c r="A181" s="12" t="s">
        <v>269</v>
      </c>
      <c r="B181" s="12">
        <v>2022</v>
      </c>
      <c r="C181" s="18" t="s">
        <v>218</v>
      </c>
      <c r="D181" s="14" t="s">
        <v>252</v>
      </c>
      <c r="E181" s="12" t="s">
        <v>253</v>
      </c>
      <c r="F181" s="14" t="s">
        <v>266</v>
      </c>
      <c r="G181" s="14" t="s">
        <v>79</v>
      </c>
      <c r="H181" s="15">
        <v>2340</v>
      </c>
      <c r="I181" s="15">
        <v>650</v>
      </c>
      <c r="J181" s="16">
        <v>3600</v>
      </c>
      <c r="K181" s="14" t="s">
        <v>63</v>
      </c>
    </row>
    <row r="182" spans="1:11" ht="13.5" customHeight="1" x14ac:dyDescent="0.25">
      <c r="A182" s="7" t="s">
        <v>270</v>
      </c>
      <c r="B182" s="7">
        <v>2023</v>
      </c>
      <c r="C182" s="17" t="s">
        <v>218</v>
      </c>
      <c r="D182" s="9" t="s">
        <v>252</v>
      </c>
      <c r="E182" s="7" t="s">
        <v>253</v>
      </c>
      <c r="F182" s="9" t="s">
        <v>266</v>
      </c>
      <c r="G182" s="9" t="s">
        <v>79</v>
      </c>
      <c r="H182" s="10">
        <v>2140</v>
      </c>
      <c r="I182" s="10">
        <v>611.4</v>
      </c>
      <c r="J182" s="11">
        <v>3500</v>
      </c>
      <c r="K182" s="9" t="s">
        <v>63</v>
      </c>
    </row>
    <row r="183" spans="1:11" ht="13.5" customHeight="1" x14ac:dyDescent="0.25">
      <c r="A183" s="12" t="s">
        <v>271</v>
      </c>
      <c r="B183" s="12">
        <v>2024</v>
      </c>
      <c r="C183" s="18" t="s">
        <v>218</v>
      </c>
      <c r="D183" s="14" t="s">
        <v>252</v>
      </c>
      <c r="E183" s="12" t="s">
        <v>253</v>
      </c>
      <c r="F183" s="14" t="s">
        <v>266</v>
      </c>
      <c r="G183" s="14" t="s">
        <v>79</v>
      </c>
      <c r="H183" s="15">
        <v>2340</v>
      </c>
      <c r="I183" s="15">
        <v>632.4</v>
      </c>
      <c r="J183" s="16">
        <v>3700</v>
      </c>
      <c r="K183" s="14" t="s">
        <v>63</v>
      </c>
    </row>
    <row r="184" spans="1:11" ht="13.5" customHeight="1" x14ac:dyDescent="0.25">
      <c r="A184" s="7" t="s">
        <v>272</v>
      </c>
      <c r="B184" s="7">
        <v>2019</v>
      </c>
      <c r="C184" s="17" t="s">
        <v>218</v>
      </c>
      <c r="D184" s="9" t="s">
        <v>252</v>
      </c>
      <c r="E184" s="7" t="s">
        <v>253</v>
      </c>
      <c r="F184" s="9" t="s">
        <v>164</v>
      </c>
      <c r="G184" s="9" t="s">
        <v>165</v>
      </c>
      <c r="H184" s="10">
        <v>1540</v>
      </c>
      <c r="I184" s="10">
        <v>481.2</v>
      </c>
      <c r="J184" s="11">
        <v>3200</v>
      </c>
      <c r="K184" s="9" t="s">
        <v>63</v>
      </c>
    </row>
    <row r="185" spans="1:11" ht="13.5" customHeight="1" x14ac:dyDescent="0.25">
      <c r="A185" s="12" t="s">
        <v>273</v>
      </c>
      <c r="B185" s="12">
        <v>2020</v>
      </c>
      <c r="C185" s="18" t="s">
        <v>218</v>
      </c>
      <c r="D185" s="14" t="s">
        <v>252</v>
      </c>
      <c r="E185" s="12" t="s">
        <v>253</v>
      </c>
      <c r="F185" s="14" t="s">
        <v>164</v>
      </c>
      <c r="G185" s="14" t="s">
        <v>165</v>
      </c>
      <c r="H185" s="15">
        <v>1240</v>
      </c>
      <c r="I185" s="15">
        <v>413.3</v>
      </c>
      <c r="J185" s="16">
        <v>3000</v>
      </c>
      <c r="K185" s="14" t="s">
        <v>63</v>
      </c>
    </row>
    <row r="186" spans="1:11" ht="13.5" customHeight="1" x14ac:dyDescent="0.25">
      <c r="A186" s="7" t="s">
        <v>274</v>
      </c>
      <c r="B186" s="7">
        <v>2021</v>
      </c>
      <c r="C186" s="17" t="s">
        <v>218</v>
      </c>
      <c r="D186" s="9" t="s">
        <v>252</v>
      </c>
      <c r="E186" s="7" t="s">
        <v>253</v>
      </c>
      <c r="F186" s="9" t="s">
        <v>164</v>
      </c>
      <c r="G186" s="9" t="s">
        <v>165</v>
      </c>
      <c r="H186" s="10">
        <v>1640</v>
      </c>
      <c r="I186" s="10">
        <v>497</v>
      </c>
      <c r="J186" s="11">
        <v>3300</v>
      </c>
      <c r="K186" s="9" t="s">
        <v>63</v>
      </c>
    </row>
    <row r="187" spans="1:11" ht="13.5" customHeight="1" x14ac:dyDescent="0.25">
      <c r="A187" s="12" t="s">
        <v>275</v>
      </c>
      <c r="B187" s="12">
        <v>2022</v>
      </c>
      <c r="C187" s="18" t="s">
        <v>218</v>
      </c>
      <c r="D187" s="14" t="s">
        <v>252</v>
      </c>
      <c r="E187" s="12" t="s">
        <v>253</v>
      </c>
      <c r="F187" s="14" t="s">
        <v>164</v>
      </c>
      <c r="G187" s="14" t="s">
        <v>165</v>
      </c>
      <c r="H187" s="15">
        <v>1940</v>
      </c>
      <c r="I187" s="15">
        <v>538.9</v>
      </c>
      <c r="J187" s="16">
        <v>3600</v>
      </c>
      <c r="K187" s="14" t="s">
        <v>63</v>
      </c>
    </row>
    <row r="188" spans="1:11" ht="13.5" customHeight="1" x14ac:dyDescent="0.25">
      <c r="A188" s="7" t="s">
        <v>276</v>
      </c>
      <c r="B188" s="7">
        <v>2023</v>
      </c>
      <c r="C188" s="17" t="s">
        <v>218</v>
      </c>
      <c r="D188" s="9" t="s">
        <v>252</v>
      </c>
      <c r="E188" s="7" t="s">
        <v>253</v>
      </c>
      <c r="F188" s="9" t="s">
        <v>164</v>
      </c>
      <c r="G188" s="9" t="s">
        <v>165</v>
      </c>
      <c r="H188" s="10">
        <v>1740</v>
      </c>
      <c r="I188" s="10">
        <v>497.1</v>
      </c>
      <c r="J188" s="11">
        <v>3500</v>
      </c>
      <c r="K188" s="9" t="s">
        <v>63</v>
      </c>
    </row>
    <row r="189" spans="1:11" ht="13.5" customHeight="1" x14ac:dyDescent="0.25">
      <c r="A189" s="12" t="s">
        <v>277</v>
      </c>
      <c r="B189" s="12">
        <v>2024</v>
      </c>
      <c r="C189" s="18" t="s">
        <v>218</v>
      </c>
      <c r="D189" s="14" t="s">
        <v>252</v>
      </c>
      <c r="E189" s="12" t="s">
        <v>253</v>
      </c>
      <c r="F189" s="14" t="s">
        <v>164</v>
      </c>
      <c r="G189" s="14" t="s">
        <v>165</v>
      </c>
      <c r="H189" s="15">
        <v>1940</v>
      </c>
      <c r="I189" s="15">
        <v>524.29999999999995</v>
      </c>
      <c r="J189" s="16">
        <v>3700</v>
      </c>
      <c r="K189" s="14" t="s">
        <v>63</v>
      </c>
    </row>
    <row r="190" spans="1:11" ht="13.5" customHeight="1" x14ac:dyDescent="0.25">
      <c r="A190" s="7" t="s">
        <v>278</v>
      </c>
      <c r="B190" s="7">
        <v>2019</v>
      </c>
      <c r="C190" s="17" t="s">
        <v>218</v>
      </c>
      <c r="D190" s="9" t="s">
        <v>252</v>
      </c>
      <c r="E190" s="7" t="s">
        <v>253</v>
      </c>
      <c r="F190" s="9" t="s">
        <v>185</v>
      </c>
      <c r="G190" s="9" t="s">
        <v>94</v>
      </c>
      <c r="H190" s="10">
        <v>1140</v>
      </c>
      <c r="I190" s="10">
        <v>356.2</v>
      </c>
      <c r="J190" s="11">
        <v>3200</v>
      </c>
      <c r="K190" s="9" t="s">
        <v>63</v>
      </c>
    </row>
    <row r="191" spans="1:11" ht="13.5" customHeight="1" x14ac:dyDescent="0.25">
      <c r="A191" s="12" t="s">
        <v>279</v>
      </c>
      <c r="B191" s="12">
        <v>2020</v>
      </c>
      <c r="C191" s="18" t="s">
        <v>218</v>
      </c>
      <c r="D191" s="14" t="s">
        <v>252</v>
      </c>
      <c r="E191" s="12" t="s">
        <v>253</v>
      </c>
      <c r="F191" s="14" t="s">
        <v>185</v>
      </c>
      <c r="G191" s="14" t="s">
        <v>94</v>
      </c>
      <c r="H191" s="15">
        <v>940</v>
      </c>
      <c r="I191" s="15">
        <v>313.3</v>
      </c>
      <c r="J191" s="16">
        <v>3000</v>
      </c>
      <c r="K191" s="14" t="s">
        <v>63</v>
      </c>
    </row>
    <row r="192" spans="1:11" ht="13.5" customHeight="1" x14ac:dyDescent="0.25">
      <c r="A192" s="7" t="s">
        <v>280</v>
      </c>
      <c r="B192" s="7">
        <v>2021</v>
      </c>
      <c r="C192" s="17" t="s">
        <v>218</v>
      </c>
      <c r="D192" s="9" t="s">
        <v>252</v>
      </c>
      <c r="E192" s="7" t="s">
        <v>253</v>
      </c>
      <c r="F192" s="9" t="s">
        <v>185</v>
      </c>
      <c r="G192" s="9" t="s">
        <v>94</v>
      </c>
      <c r="H192" s="10">
        <v>1240</v>
      </c>
      <c r="I192" s="10">
        <v>375.8</v>
      </c>
      <c r="J192" s="11">
        <v>3300</v>
      </c>
      <c r="K192" s="9" t="s">
        <v>63</v>
      </c>
    </row>
    <row r="193" spans="1:11" ht="13.5" customHeight="1" x14ac:dyDescent="0.25">
      <c r="A193" s="12" t="s">
        <v>281</v>
      </c>
      <c r="B193" s="12">
        <v>2022</v>
      </c>
      <c r="C193" s="18" t="s">
        <v>218</v>
      </c>
      <c r="D193" s="14" t="s">
        <v>252</v>
      </c>
      <c r="E193" s="12" t="s">
        <v>253</v>
      </c>
      <c r="F193" s="14" t="s">
        <v>185</v>
      </c>
      <c r="G193" s="14" t="s">
        <v>94</v>
      </c>
      <c r="H193" s="15">
        <v>1440</v>
      </c>
      <c r="I193" s="15">
        <v>400</v>
      </c>
      <c r="J193" s="16">
        <v>3600</v>
      </c>
      <c r="K193" s="14" t="s">
        <v>63</v>
      </c>
    </row>
    <row r="194" spans="1:11" ht="13.5" customHeight="1" x14ac:dyDescent="0.25">
      <c r="A194" s="7" t="s">
        <v>282</v>
      </c>
      <c r="B194" s="7">
        <v>2023</v>
      </c>
      <c r="C194" s="17" t="s">
        <v>218</v>
      </c>
      <c r="D194" s="9" t="s">
        <v>252</v>
      </c>
      <c r="E194" s="7" t="s">
        <v>253</v>
      </c>
      <c r="F194" s="9" t="s">
        <v>185</v>
      </c>
      <c r="G194" s="9" t="s">
        <v>94</v>
      </c>
      <c r="H194" s="10">
        <v>1340</v>
      </c>
      <c r="I194" s="10">
        <v>382.9</v>
      </c>
      <c r="J194" s="11">
        <v>3500</v>
      </c>
      <c r="K194" s="9" t="s">
        <v>63</v>
      </c>
    </row>
    <row r="195" spans="1:11" ht="13.5" customHeight="1" x14ac:dyDescent="0.25">
      <c r="A195" s="12" t="s">
        <v>283</v>
      </c>
      <c r="B195" s="12">
        <v>2024</v>
      </c>
      <c r="C195" s="18" t="s">
        <v>218</v>
      </c>
      <c r="D195" s="14" t="s">
        <v>252</v>
      </c>
      <c r="E195" s="12" t="s">
        <v>253</v>
      </c>
      <c r="F195" s="14" t="s">
        <v>185</v>
      </c>
      <c r="G195" s="14" t="s">
        <v>94</v>
      </c>
      <c r="H195" s="15">
        <v>1440</v>
      </c>
      <c r="I195" s="15">
        <v>389.2</v>
      </c>
      <c r="J195" s="16">
        <v>3700</v>
      </c>
      <c r="K195" s="14" t="s">
        <v>63</v>
      </c>
    </row>
    <row r="196" spans="1:11" ht="13.5" customHeight="1" x14ac:dyDescent="0.25">
      <c r="A196" s="7" t="s">
        <v>284</v>
      </c>
      <c r="B196" s="7">
        <v>2019</v>
      </c>
      <c r="C196" s="17" t="s">
        <v>218</v>
      </c>
      <c r="D196" s="9" t="s">
        <v>285</v>
      </c>
      <c r="E196" s="7" t="s">
        <v>102</v>
      </c>
      <c r="F196" s="9" t="s">
        <v>185</v>
      </c>
      <c r="G196" s="9" t="s">
        <v>94</v>
      </c>
      <c r="H196" s="10">
        <v>3540</v>
      </c>
      <c r="I196" s="10">
        <v>6103.4</v>
      </c>
      <c r="J196" s="11">
        <v>580</v>
      </c>
      <c r="K196" s="9" t="s">
        <v>63</v>
      </c>
    </row>
    <row r="197" spans="1:11" ht="13.5" customHeight="1" x14ac:dyDescent="0.25">
      <c r="A197" s="12" t="s">
        <v>286</v>
      </c>
      <c r="B197" s="12">
        <v>2020</v>
      </c>
      <c r="C197" s="18" t="s">
        <v>218</v>
      </c>
      <c r="D197" s="14" t="s">
        <v>285</v>
      </c>
      <c r="E197" s="12" t="s">
        <v>102</v>
      </c>
      <c r="F197" s="14" t="s">
        <v>185</v>
      </c>
      <c r="G197" s="14" t="s">
        <v>94</v>
      </c>
      <c r="H197" s="15">
        <v>2440</v>
      </c>
      <c r="I197" s="15">
        <v>6256.4</v>
      </c>
      <c r="J197" s="16">
        <v>390</v>
      </c>
      <c r="K197" s="14" t="s">
        <v>63</v>
      </c>
    </row>
    <row r="198" spans="1:11" ht="13.5" customHeight="1" x14ac:dyDescent="0.25">
      <c r="A198" s="7" t="s">
        <v>287</v>
      </c>
      <c r="B198" s="7">
        <v>2021</v>
      </c>
      <c r="C198" s="17" t="s">
        <v>218</v>
      </c>
      <c r="D198" s="9" t="s">
        <v>285</v>
      </c>
      <c r="E198" s="7" t="s">
        <v>102</v>
      </c>
      <c r="F198" s="9" t="s">
        <v>185</v>
      </c>
      <c r="G198" s="9" t="s">
        <v>94</v>
      </c>
      <c r="H198" s="10">
        <v>3240</v>
      </c>
      <c r="I198" s="10">
        <v>4909.1000000000004</v>
      </c>
      <c r="J198" s="11">
        <v>660</v>
      </c>
      <c r="K198" s="9" t="s">
        <v>63</v>
      </c>
    </row>
    <row r="199" spans="1:11" ht="13.5" customHeight="1" x14ac:dyDescent="0.25">
      <c r="A199" s="12" t="s">
        <v>288</v>
      </c>
      <c r="B199" s="12">
        <v>2022</v>
      </c>
      <c r="C199" s="18" t="s">
        <v>218</v>
      </c>
      <c r="D199" s="14" t="s">
        <v>285</v>
      </c>
      <c r="E199" s="12" t="s">
        <v>102</v>
      </c>
      <c r="F199" s="14" t="s">
        <v>185</v>
      </c>
      <c r="G199" s="14" t="s">
        <v>94</v>
      </c>
      <c r="H199" s="15">
        <v>4840</v>
      </c>
      <c r="I199" s="15">
        <v>5500</v>
      </c>
      <c r="J199" s="16">
        <v>880</v>
      </c>
      <c r="K199" s="14" t="s">
        <v>63</v>
      </c>
    </row>
    <row r="200" spans="1:11" ht="13.5" customHeight="1" x14ac:dyDescent="0.25">
      <c r="A200" s="7" t="s">
        <v>289</v>
      </c>
      <c r="B200" s="7">
        <v>2023</v>
      </c>
      <c r="C200" s="17" t="s">
        <v>218</v>
      </c>
      <c r="D200" s="9" t="s">
        <v>285</v>
      </c>
      <c r="E200" s="7" t="s">
        <v>102</v>
      </c>
      <c r="F200" s="9" t="s">
        <v>185</v>
      </c>
      <c r="G200" s="9" t="s">
        <v>94</v>
      </c>
      <c r="H200" s="10">
        <v>4140</v>
      </c>
      <c r="I200" s="10">
        <v>5307.7</v>
      </c>
      <c r="J200" s="11">
        <v>780</v>
      </c>
      <c r="K200" s="9" t="s">
        <v>63</v>
      </c>
    </row>
    <row r="201" spans="1:11" ht="13.5" customHeight="1" x14ac:dyDescent="0.25">
      <c r="A201" s="12" t="s">
        <v>290</v>
      </c>
      <c r="B201" s="12">
        <v>2024</v>
      </c>
      <c r="C201" s="18" t="s">
        <v>218</v>
      </c>
      <c r="D201" s="14" t="s">
        <v>285</v>
      </c>
      <c r="E201" s="12" t="s">
        <v>102</v>
      </c>
      <c r="F201" s="14" t="s">
        <v>185</v>
      </c>
      <c r="G201" s="14" t="s">
        <v>94</v>
      </c>
      <c r="H201" s="15">
        <v>4440</v>
      </c>
      <c r="I201" s="15">
        <v>5842.1</v>
      </c>
      <c r="J201" s="16">
        <v>760</v>
      </c>
      <c r="K201" s="14" t="s">
        <v>63</v>
      </c>
    </row>
    <row r="202" spans="1:11" ht="13.5" customHeight="1" x14ac:dyDescent="0.25">
      <c r="A202" s="7" t="s">
        <v>291</v>
      </c>
      <c r="B202" s="7">
        <v>2019</v>
      </c>
      <c r="C202" s="17" t="s">
        <v>218</v>
      </c>
      <c r="D202" s="9" t="s">
        <v>285</v>
      </c>
      <c r="E202" s="7" t="s">
        <v>102</v>
      </c>
      <c r="F202" s="9" t="s">
        <v>93</v>
      </c>
      <c r="G202" s="9" t="s">
        <v>94</v>
      </c>
      <c r="H202" s="10">
        <v>1840</v>
      </c>
      <c r="I202" s="10">
        <v>3172.4</v>
      </c>
      <c r="J202" s="11">
        <v>580</v>
      </c>
      <c r="K202" s="9" t="s">
        <v>63</v>
      </c>
    </row>
    <row r="203" spans="1:11" ht="13.5" customHeight="1" x14ac:dyDescent="0.25">
      <c r="A203" s="12" t="s">
        <v>292</v>
      </c>
      <c r="B203" s="12">
        <v>2020</v>
      </c>
      <c r="C203" s="18" t="s">
        <v>218</v>
      </c>
      <c r="D203" s="14" t="s">
        <v>285</v>
      </c>
      <c r="E203" s="12" t="s">
        <v>102</v>
      </c>
      <c r="F203" s="14" t="s">
        <v>93</v>
      </c>
      <c r="G203" s="14" t="s">
        <v>94</v>
      </c>
      <c r="H203" s="15">
        <v>1240</v>
      </c>
      <c r="I203" s="15">
        <v>3179.5</v>
      </c>
      <c r="J203" s="16">
        <v>390</v>
      </c>
      <c r="K203" s="14" t="s">
        <v>63</v>
      </c>
    </row>
    <row r="204" spans="1:11" ht="13.5" customHeight="1" x14ac:dyDescent="0.25">
      <c r="A204" s="7" t="s">
        <v>293</v>
      </c>
      <c r="B204" s="7">
        <v>2021</v>
      </c>
      <c r="C204" s="17" t="s">
        <v>218</v>
      </c>
      <c r="D204" s="9" t="s">
        <v>285</v>
      </c>
      <c r="E204" s="7" t="s">
        <v>102</v>
      </c>
      <c r="F204" s="9" t="s">
        <v>93</v>
      </c>
      <c r="G204" s="9" t="s">
        <v>94</v>
      </c>
      <c r="H204" s="10">
        <v>1640</v>
      </c>
      <c r="I204" s="10">
        <v>2484.8000000000002</v>
      </c>
      <c r="J204" s="11">
        <v>660</v>
      </c>
      <c r="K204" s="9" t="s">
        <v>63</v>
      </c>
    </row>
    <row r="205" spans="1:11" ht="13.5" customHeight="1" x14ac:dyDescent="0.25">
      <c r="A205" s="12" t="s">
        <v>294</v>
      </c>
      <c r="B205" s="12">
        <v>2022</v>
      </c>
      <c r="C205" s="18" t="s">
        <v>218</v>
      </c>
      <c r="D205" s="14" t="s">
        <v>285</v>
      </c>
      <c r="E205" s="12" t="s">
        <v>102</v>
      </c>
      <c r="F205" s="14" t="s">
        <v>93</v>
      </c>
      <c r="G205" s="14" t="s">
        <v>94</v>
      </c>
      <c r="H205" s="15">
        <v>2540</v>
      </c>
      <c r="I205" s="15">
        <v>2886.4</v>
      </c>
      <c r="J205" s="16">
        <v>880</v>
      </c>
      <c r="K205" s="14" t="s">
        <v>63</v>
      </c>
    </row>
    <row r="206" spans="1:11" ht="13.5" customHeight="1" x14ac:dyDescent="0.25">
      <c r="A206" s="7" t="s">
        <v>295</v>
      </c>
      <c r="B206" s="7">
        <v>2023</v>
      </c>
      <c r="C206" s="17" t="s">
        <v>218</v>
      </c>
      <c r="D206" s="9" t="s">
        <v>285</v>
      </c>
      <c r="E206" s="7" t="s">
        <v>102</v>
      </c>
      <c r="F206" s="9" t="s">
        <v>93</v>
      </c>
      <c r="G206" s="9" t="s">
        <v>94</v>
      </c>
      <c r="H206" s="10">
        <v>2140</v>
      </c>
      <c r="I206" s="10">
        <v>2743.6</v>
      </c>
      <c r="J206" s="11">
        <v>780</v>
      </c>
      <c r="K206" s="9" t="s">
        <v>63</v>
      </c>
    </row>
    <row r="207" spans="1:11" ht="13.5" customHeight="1" x14ac:dyDescent="0.25">
      <c r="A207" s="12" t="s">
        <v>296</v>
      </c>
      <c r="B207" s="12">
        <v>2024</v>
      </c>
      <c r="C207" s="18" t="s">
        <v>218</v>
      </c>
      <c r="D207" s="14" t="s">
        <v>285</v>
      </c>
      <c r="E207" s="12" t="s">
        <v>102</v>
      </c>
      <c r="F207" s="14" t="s">
        <v>93</v>
      </c>
      <c r="G207" s="14" t="s">
        <v>94</v>
      </c>
      <c r="H207" s="15">
        <v>2240</v>
      </c>
      <c r="I207" s="15">
        <v>2947.4</v>
      </c>
      <c r="J207" s="16">
        <v>760</v>
      </c>
      <c r="K207" s="14" t="s">
        <v>63</v>
      </c>
    </row>
    <row r="208" spans="1:11" ht="13.5" customHeight="1" x14ac:dyDescent="0.25">
      <c r="A208" s="7" t="s">
        <v>297</v>
      </c>
      <c r="B208" s="7">
        <v>2019</v>
      </c>
      <c r="C208" s="17" t="s">
        <v>218</v>
      </c>
      <c r="D208" s="9" t="s">
        <v>285</v>
      </c>
      <c r="E208" s="7" t="s">
        <v>102</v>
      </c>
      <c r="F208" s="9" t="s">
        <v>298</v>
      </c>
      <c r="G208" s="9" t="s">
        <v>299</v>
      </c>
      <c r="H208" s="10">
        <v>1440</v>
      </c>
      <c r="I208" s="10">
        <v>2482.8000000000002</v>
      </c>
      <c r="J208" s="11">
        <v>580</v>
      </c>
      <c r="K208" s="9" t="s">
        <v>63</v>
      </c>
    </row>
    <row r="209" spans="1:11" ht="13.5" customHeight="1" x14ac:dyDescent="0.25">
      <c r="A209" s="12" t="s">
        <v>300</v>
      </c>
      <c r="B209" s="12">
        <v>2020</v>
      </c>
      <c r="C209" s="18" t="s">
        <v>218</v>
      </c>
      <c r="D209" s="14" t="s">
        <v>285</v>
      </c>
      <c r="E209" s="12" t="s">
        <v>102</v>
      </c>
      <c r="F209" s="14" t="s">
        <v>298</v>
      </c>
      <c r="G209" s="14" t="s">
        <v>299</v>
      </c>
      <c r="H209" s="15">
        <v>940</v>
      </c>
      <c r="I209" s="15">
        <v>2410.3000000000002</v>
      </c>
      <c r="J209" s="16">
        <v>390</v>
      </c>
      <c r="K209" s="14" t="s">
        <v>63</v>
      </c>
    </row>
    <row r="210" spans="1:11" ht="13.5" customHeight="1" x14ac:dyDescent="0.25">
      <c r="A210" s="7" t="s">
        <v>301</v>
      </c>
      <c r="B210" s="7">
        <v>2021</v>
      </c>
      <c r="C210" s="17" t="s">
        <v>218</v>
      </c>
      <c r="D210" s="9" t="s">
        <v>285</v>
      </c>
      <c r="E210" s="7" t="s">
        <v>102</v>
      </c>
      <c r="F210" s="9" t="s">
        <v>298</v>
      </c>
      <c r="G210" s="9" t="s">
        <v>299</v>
      </c>
      <c r="H210" s="10">
        <v>1240</v>
      </c>
      <c r="I210" s="10">
        <v>1878.8</v>
      </c>
      <c r="J210" s="11">
        <v>660</v>
      </c>
      <c r="K210" s="9" t="s">
        <v>63</v>
      </c>
    </row>
    <row r="211" spans="1:11" ht="13.5" customHeight="1" x14ac:dyDescent="0.25">
      <c r="A211" s="12" t="s">
        <v>302</v>
      </c>
      <c r="B211" s="12">
        <v>2022</v>
      </c>
      <c r="C211" s="18" t="s">
        <v>218</v>
      </c>
      <c r="D211" s="14" t="s">
        <v>285</v>
      </c>
      <c r="E211" s="12" t="s">
        <v>102</v>
      </c>
      <c r="F211" s="14" t="s">
        <v>298</v>
      </c>
      <c r="G211" s="14" t="s">
        <v>299</v>
      </c>
      <c r="H211" s="15">
        <v>1940</v>
      </c>
      <c r="I211" s="15">
        <v>2204.5</v>
      </c>
      <c r="J211" s="16">
        <v>880</v>
      </c>
      <c r="K211" s="14" t="s">
        <v>63</v>
      </c>
    </row>
    <row r="212" spans="1:11" ht="13.5" customHeight="1" x14ac:dyDescent="0.25">
      <c r="A212" s="7" t="s">
        <v>303</v>
      </c>
      <c r="B212" s="7">
        <v>2023</v>
      </c>
      <c r="C212" s="17" t="s">
        <v>218</v>
      </c>
      <c r="D212" s="9" t="s">
        <v>285</v>
      </c>
      <c r="E212" s="7" t="s">
        <v>102</v>
      </c>
      <c r="F212" s="9" t="s">
        <v>298</v>
      </c>
      <c r="G212" s="9" t="s">
        <v>299</v>
      </c>
      <c r="H212" s="10">
        <v>1640</v>
      </c>
      <c r="I212" s="10">
        <v>2102.6</v>
      </c>
      <c r="J212" s="11">
        <v>780</v>
      </c>
      <c r="K212" s="9" t="s">
        <v>63</v>
      </c>
    </row>
    <row r="213" spans="1:11" ht="13.5" customHeight="1" x14ac:dyDescent="0.25">
      <c r="A213" s="12" t="s">
        <v>304</v>
      </c>
      <c r="B213" s="12">
        <v>2024</v>
      </c>
      <c r="C213" s="18" t="s">
        <v>218</v>
      </c>
      <c r="D213" s="14" t="s">
        <v>285</v>
      </c>
      <c r="E213" s="12" t="s">
        <v>102</v>
      </c>
      <c r="F213" s="14" t="s">
        <v>298</v>
      </c>
      <c r="G213" s="14" t="s">
        <v>299</v>
      </c>
      <c r="H213" s="15">
        <v>1740</v>
      </c>
      <c r="I213" s="15">
        <v>2289.5</v>
      </c>
      <c r="J213" s="16">
        <v>760</v>
      </c>
      <c r="K213" s="14" t="s">
        <v>63</v>
      </c>
    </row>
    <row r="214" spans="1:11" ht="13.5" customHeight="1" x14ac:dyDescent="0.25">
      <c r="A214" s="7" t="s">
        <v>305</v>
      </c>
      <c r="B214" s="7">
        <v>2019</v>
      </c>
      <c r="C214" s="17" t="s">
        <v>218</v>
      </c>
      <c r="D214" s="9" t="s">
        <v>306</v>
      </c>
      <c r="E214" s="7" t="s">
        <v>307</v>
      </c>
      <c r="F214" s="9" t="s">
        <v>70</v>
      </c>
      <c r="G214" s="9" t="s">
        <v>71</v>
      </c>
      <c r="H214" s="10">
        <v>3240</v>
      </c>
      <c r="I214" s="10">
        <v>5586.2</v>
      </c>
      <c r="J214" s="11">
        <v>580</v>
      </c>
      <c r="K214" s="9" t="s">
        <v>63</v>
      </c>
    </row>
    <row r="215" spans="1:11" ht="13.5" customHeight="1" x14ac:dyDescent="0.25">
      <c r="A215" s="12" t="s">
        <v>308</v>
      </c>
      <c r="B215" s="12">
        <v>2020</v>
      </c>
      <c r="C215" s="18" t="s">
        <v>218</v>
      </c>
      <c r="D215" s="14" t="s">
        <v>306</v>
      </c>
      <c r="E215" s="12" t="s">
        <v>307</v>
      </c>
      <c r="F215" s="14" t="s">
        <v>70</v>
      </c>
      <c r="G215" s="14" t="s">
        <v>71</v>
      </c>
      <c r="H215" s="15">
        <v>2440</v>
      </c>
      <c r="I215" s="15">
        <v>4979.6000000000004</v>
      </c>
      <c r="J215" s="16">
        <v>490</v>
      </c>
      <c r="K215" s="14" t="s">
        <v>63</v>
      </c>
    </row>
    <row r="216" spans="1:11" ht="13.5" customHeight="1" x14ac:dyDescent="0.25">
      <c r="A216" s="7" t="s">
        <v>309</v>
      </c>
      <c r="B216" s="7">
        <v>2021</v>
      </c>
      <c r="C216" s="17" t="s">
        <v>218</v>
      </c>
      <c r="D216" s="9" t="s">
        <v>306</v>
      </c>
      <c r="E216" s="7" t="s">
        <v>307</v>
      </c>
      <c r="F216" s="9" t="s">
        <v>70</v>
      </c>
      <c r="G216" s="9" t="s">
        <v>71</v>
      </c>
      <c r="H216" s="10">
        <v>3240</v>
      </c>
      <c r="I216" s="10">
        <v>3600</v>
      </c>
      <c r="J216" s="11">
        <v>900</v>
      </c>
      <c r="K216" s="9" t="s">
        <v>63</v>
      </c>
    </row>
    <row r="217" spans="1:11" ht="13.5" customHeight="1" x14ac:dyDescent="0.25">
      <c r="A217" s="12" t="s">
        <v>310</v>
      </c>
      <c r="B217" s="12">
        <v>2022</v>
      </c>
      <c r="C217" s="18" t="s">
        <v>218</v>
      </c>
      <c r="D217" s="14" t="s">
        <v>306</v>
      </c>
      <c r="E217" s="12" t="s">
        <v>307</v>
      </c>
      <c r="F217" s="14" t="s">
        <v>70</v>
      </c>
      <c r="G217" s="14" t="s">
        <v>71</v>
      </c>
      <c r="H217" s="15">
        <v>4040</v>
      </c>
      <c r="I217" s="15">
        <v>3672.7</v>
      </c>
      <c r="J217" s="16">
        <v>1100</v>
      </c>
      <c r="K217" s="14" t="s">
        <v>63</v>
      </c>
    </row>
    <row r="218" spans="1:11" ht="13.5" customHeight="1" x14ac:dyDescent="0.25">
      <c r="A218" s="7" t="s">
        <v>311</v>
      </c>
      <c r="B218" s="7">
        <v>2023</v>
      </c>
      <c r="C218" s="17" t="s">
        <v>218</v>
      </c>
      <c r="D218" s="9" t="s">
        <v>306</v>
      </c>
      <c r="E218" s="7" t="s">
        <v>307</v>
      </c>
      <c r="F218" s="9" t="s">
        <v>70</v>
      </c>
      <c r="G218" s="9" t="s">
        <v>71</v>
      </c>
      <c r="H218" s="10">
        <v>3640</v>
      </c>
      <c r="I218" s="10">
        <v>5055.6000000000004</v>
      </c>
      <c r="J218" s="11">
        <v>720</v>
      </c>
      <c r="K218" s="9" t="s">
        <v>63</v>
      </c>
    </row>
    <row r="219" spans="1:11" ht="13.5" customHeight="1" x14ac:dyDescent="0.25">
      <c r="A219" s="12" t="s">
        <v>312</v>
      </c>
      <c r="B219" s="12">
        <v>2024</v>
      </c>
      <c r="C219" s="18" t="s">
        <v>218</v>
      </c>
      <c r="D219" s="14" t="s">
        <v>306</v>
      </c>
      <c r="E219" s="12" t="s">
        <v>307</v>
      </c>
      <c r="F219" s="14" t="s">
        <v>70</v>
      </c>
      <c r="G219" s="14" t="s">
        <v>71</v>
      </c>
      <c r="H219" s="15">
        <v>4040</v>
      </c>
      <c r="I219" s="15">
        <v>5941.2</v>
      </c>
      <c r="J219" s="16">
        <v>680</v>
      </c>
      <c r="K219" s="14" t="s">
        <v>63</v>
      </c>
    </row>
    <row r="220" spans="1:11" ht="13.5" customHeight="1" x14ac:dyDescent="0.25">
      <c r="A220" s="7" t="s">
        <v>313</v>
      </c>
      <c r="B220" s="7">
        <v>2019</v>
      </c>
      <c r="C220" s="17" t="s">
        <v>218</v>
      </c>
      <c r="D220" s="9" t="s">
        <v>306</v>
      </c>
      <c r="E220" s="7" t="s">
        <v>307</v>
      </c>
      <c r="F220" s="9" t="s">
        <v>115</v>
      </c>
      <c r="G220" s="9" t="s">
        <v>71</v>
      </c>
      <c r="H220" s="10">
        <v>1240</v>
      </c>
      <c r="I220" s="10">
        <v>2137.9</v>
      </c>
      <c r="J220" s="11">
        <v>580</v>
      </c>
      <c r="K220" s="9" t="s">
        <v>63</v>
      </c>
    </row>
    <row r="221" spans="1:11" ht="13.5" customHeight="1" x14ac:dyDescent="0.25">
      <c r="A221" s="12" t="s">
        <v>314</v>
      </c>
      <c r="B221" s="12">
        <v>2020</v>
      </c>
      <c r="C221" s="18" t="s">
        <v>218</v>
      </c>
      <c r="D221" s="14" t="s">
        <v>306</v>
      </c>
      <c r="E221" s="12" t="s">
        <v>307</v>
      </c>
      <c r="F221" s="14" t="s">
        <v>115</v>
      </c>
      <c r="G221" s="14" t="s">
        <v>71</v>
      </c>
      <c r="H221" s="15">
        <v>940</v>
      </c>
      <c r="I221" s="15">
        <v>1918.4</v>
      </c>
      <c r="J221" s="16">
        <v>490</v>
      </c>
      <c r="K221" s="14" t="s">
        <v>63</v>
      </c>
    </row>
    <row r="222" spans="1:11" ht="13.5" customHeight="1" x14ac:dyDescent="0.25">
      <c r="A222" s="7" t="s">
        <v>315</v>
      </c>
      <c r="B222" s="7">
        <v>2021</v>
      </c>
      <c r="C222" s="17" t="s">
        <v>218</v>
      </c>
      <c r="D222" s="9" t="s">
        <v>306</v>
      </c>
      <c r="E222" s="7" t="s">
        <v>307</v>
      </c>
      <c r="F222" s="9" t="s">
        <v>115</v>
      </c>
      <c r="G222" s="9" t="s">
        <v>71</v>
      </c>
      <c r="H222" s="10">
        <v>1240</v>
      </c>
      <c r="I222" s="10">
        <v>1377.8</v>
      </c>
      <c r="J222" s="11">
        <v>900</v>
      </c>
      <c r="K222" s="9" t="s">
        <v>63</v>
      </c>
    </row>
    <row r="223" spans="1:11" ht="13.5" customHeight="1" x14ac:dyDescent="0.25">
      <c r="A223" s="12" t="s">
        <v>316</v>
      </c>
      <c r="B223" s="12">
        <v>2022</v>
      </c>
      <c r="C223" s="18" t="s">
        <v>218</v>
      </c>
      <c r="D223" s="14" t="s">
        <v>306</v>
      </c>
      <c r="E223" s="12" t="s">
        <v>307</v>
      </c>
      <c r="F223" s="14" t="s">
        <v>115</v>
      </c>
      <c r="G223" s="14" t="s">
        <v>71</v>
      </c>
      <c r="H223" s="15">
        <v>1540</v>
      </c>
      <c r="I223" s="15">
        <v>1400</v>
      </c>
      <c r="J223" s="16">
        <v>1100</v>
      </c>
      <c r="K223" s="14" t="s">
        <v>63</v>
      </c>
    </row>
    <row r="224" spans="1:11" ht="13.5" customHeight="1" x14ac:dyDescent="0.25">
      <c r="A224" s="7" t="s">
        <v>317</v>
      </c>
      <c r="B224" s="7">
        <v>2023</v>
      </c>
      <c r="C224" s="17" t="s">
        <v>218</v>
      </c>
      <c r="D224" s="9" t="s">
        <v>306</v>
      </c>
      <c r="E224" s="7" t="s">
        <v>307</v>
      </c>
      <c r="F224" s="9" t="s">
        <v>115</v>
      </c>
      <c r="G224" s="9" t="s">
        <v>71</v>
      </c>
      <c r="H224" s="10">
        <v>1380</v>
      </c>
      <c r="I224" s="10">
        <v>1916.7</v>
      </c>
      <c r="J224" s="11">
        <v>720</v>
      </c>
      <c r="K224" s="9" t="s">
        <v>63</v>
      </c>
    </row>
    <row r="225" spans="1:11" ht="13.5" customHeight="1" x14ac:dyDescent="0.25">
      <c r="A225" s="12" t="s">
        <v>318</v>
      </c>
      <c r="B225" s="12">
        <v>2024</v>
      </c>
      <c r="C225" s="18" t="s">
        <v>218</v>
      </c>
      <c r="D225" s="14" t="s">
        <v>306</v>
      </c>
      <c r="E225" s="12" t="s">
        <v>307</v>
      </c>
      <c r="F225" s="14" t="s">
        <v>115</v>
      </c>
      <c r="G225" s="14" t="s">
        <v>71</v>
      </c>
      <c r="H225" s="15">
        <v>1540</v>
      </c>
      <c r="I225" s="15">
        <v>2264.6999999999998</v>
      </c>
      <c r="J225" s="16">
        <v>680</v>
      </c>
      <c r="K225" s="14" t="s">
        <v>63</v>
      </c>
    </row>
    <row r="226" spans="1:11" ht="13.5" customHeight="1" x14ac:dyDescent="0.25">
      <c r="A226" s="7" t="s">
        <v>319</v>
      </c>
      <c r="B226" s="7">
        <v>2019</v>
      </c>
      <c r="C226" s="17" t="s">
        <v>218</v>
      </c>
      <c r="D226" s="9" t="s">
        <v>306</v>
      </c>
      <c r="E226" s="7" t="s">
        <v>307</v>
      </c>
      <c r="F226" s="9" t="s">
        <v>122</v>
      </c>
      <c r="G226" s="9" t="s">
        <v>71</v>
      </c>
      <c r="H226" s="10">
        <v>1040</v>
      </c>
      <c r="I226" s="10">
        <v>1793.1</v>
      </c>
      <c r="J226" s="11">
        <v>580</v>
      </c>
      <c r="K226" s="9" t="s">
        <v>63</v>
      </c>
    </row>
    <row r="227" spans="1:11" ht="13.5" customHeight="1" x14ac:dyDescent="0.25">
      <c r="A227" s="12" t="s">
        <v>320</v>
      </c>
      <c r="B227" s="12">
        <v>2020</v>
      </c>
      <c r="C227" s="18" t="s">
        <v>218</v>
      </c>
      <c r="D227" s="14" t="s">
        <v>306</v>
      </c>
      <c r="E227" s="12" t="s">
        <v>307</v>
      </c>
      <c r="F227" s="14" t="s">
        <v>122</v>
      </c>
      <c r="G227" s="14" t="s">
        <v>71</v>
      </c>
      <c r="H227" s="15">
        <v>760</v>
      </c>
      <c r="I227" s="15">
        <v>1551</v>
      </c>
      <c r="J227" s="16">
        <v>490</v>
      </c>
      <c r="K227" s="14" t="s">
        <v>63</v>
      </c>
    </row>
    <row r="228" spans="1:11" ht="13.5" customHeight="1" x14ac:dyDescent="0.25">
      <c r="A228" s="7" t="s">
        <v>321</v>
      </c>
      <c r="B228" s="7">
        <v>2021</v>
      </c>
      <c r="C228" s="17" t="s">
        <v>218</v>
      </c>
      <c r="D228" s="9" t="s">
        <v>306</v>
      </c>
      <c r="E228" s="7" t="s">
        <v>307</v>
      </c>
      <c r="F228" s="9" t="s">
        <v>122</v>
      </c>
      <c r="G228" s="9" t="s">
        <v>71</v>
      </c>
      <c r="H228" s="10">
        <v>1040</v>
      </c>
      <c r="I228" s="10">
        <v>1155.5999999999999</v>
      </c>
      <c r="J228" s="11">
        <v>900</v>
      </c>
      <c r="K228" s="9" t="s">
        <v>63</v>
      </c>
    </row>
    <row r="229" spans="1:11" ht="13.5" customHeight="1" x14ac:dyDescent="0.25">
      <c r="A229" s="12" t="s">
        <v>322</v>
      </c>
      <c r="B229" s="12">
        <v>2022</v>
      </c>
      <c r="C229" s="18" t="s">
        <v>218</v>
      </c>
      <c r="D229" s="14" t="s">
        <v>306</v>
      </c>
      <c r="E229" s="12" t="s">
        <v>307</v>
      </c>
      <c r="F229" s="14" t="s">
        <v>122</v>
      </c>
      <c r="G229" s="14" t="s">
        <v>71</v>
      </c>
      <c r="H229" s="15">
        <v>1280</v>
      </c>
      <c r="I229" s="15">
        <v>1163.5999999999999</v>
      </c>
      <c r="J229" s="16">
        <v>1100</v>
      </c>
      <c r="K229" s="14" t="s">
        <v>63</v>
      </c>
    </row>
    <row r="230" spans="1:11" ht="13.5" customHeight="1" x14ac:dyDescent="0.25">
      <c r="A230" s="7" t="s">
        <v>323</v>
      </c>
      <c r="B230" s="7">
        <v>2023</v>
      </c>
      <c r="C230" s="17" t="s">
        <v>218</v>
      </c>
      <c r="D230" s="9" t="s">
        <v>306</v>
      </c>
      <c r="E230" s="7" t="s">
        <v>307</v>
      </c>
      <c r="F230" s="9" t="s">
        <v>122</v>
      </c>
      <c r="G230" s="9" t="s">
        <v>71</v>
      </c>
      <c r="H230" s="10">
        <v>1120</v>
      </c>
      <c r="I230" s="10">
        <v>1555.6</v>
      </c>
      <c r="J230" s="11">
        <v>720</v>
      </c>
      <c r="K230" s="9" t="s">
        <v>63</v>
      </c>
    </row>
    <row r="231" spans="1:11" ht="13.5" customHeight="1" x14ac:dyDescent="0.25">
      <c r="A231" s="12" t="s">
        <v>324</v>
      </c>
      <c r="B231" s="12">
        <v>2024</v>
      </c>
      <c r="C231" s="18" t="s">
        <v>218</v>
      </c>
      <c r="D231" s="14" t="s">
        <v>306</v>
      </c>
      <c r="E231" s="12" t="s">
        <v>307</v>
      </c>
      <c r="F231" s="14" t="s">
        <v>122</v>
      </c>
      <c r="G231" s="14" t="s">
        <v>71</v>
      </c>
      <c r="H231" s="15">
        <v>1280</v>
      </c>
      <c r="I231" s="15">
        <v>1882.4</v>
      </c>
      <c r="J231" s="16">
        <v>680</v>
      </c>
      <c r="K231" s="14" t="s">
        <v>63</v>
      </c>
    </row>
    <row r="232" spans="1:11" ht="13.5" customHeight="1" x14ac:dyDescent="0.25">
      <c r="A232" s="7" t="s">
        <v>325</v>
      </c>
      <c r="B232" s="7">
        <v>2019</v>
      </c>
      <c r="C232" s="17" t="s">
        <v>218</v>
      </c>
      <c r="D232" s="9" t="s">
        <v>326</v>
      </c>
      <c r="E232" s="7" t="s">
        <v>327</v>
      </c>
      <c r="F232" s="9" t="s">
        <v>328</v>
      </c>
      <c r="G232" s="9" t="s">
        <v>329</v>
      </c>
      <c r="H232" s="10">
        <v>920</v>
      </c>
      <c r="I232" s="10">
        <v>4600</v>
      </c>
      <c r="J232" s="11">
        <v>200</v>
      </c>
      <c r="K232" s="9" t="s">
        <v>63</v>
      </c>
    </row>
    <row r="233" spans="1:11" ht="13.5" customHeight="1" x14ac:dyDescent="0.25">
      <c r="A233" s="12" t="s">
        <v>330</v>
      </c>
      <c r="B233" s="12">
        <v>2020</v>
      </c>
      <c r="C233" s="18" t="s">
        <v>218</v>
      </c>
      <c r="D233" s="14" t="s">
        <v>326</v>
      </c>
      <c r="E233" s="12" t="s">
        <v>327</v>
      </c>
      <c r="F233" s="14" t="s">
        <v>328</v>
      </c>
      <c r="G233" s="14" t="s">
        <v>329</v>
      </c>
      <c r="H233" s="15">
        <v>990</v>
      </c>
      <c r="I233" s="15">
        <v>4714.3</v>
      </c>
      <c r="J233" s="16">
        <v>210</v>
      </c>
      <c r="K233" s="14" t="s">
        <v>63</v>
      </c>
    </row>
    <row r="234" spans="1:11" ht="13.5" customHeight="1" x14ac:dyDescent="0.25">
      <c r="A234" s="7" t="s">
        <v>331</v>
      </c>
      <c r="B234" s="7">
        <v>2021</v>
      </c>
      <c r="C234" s="17" t="s">
        <v>218</v>
      </c>
      <c r="D234" s="9" t="s">
        <v>326</v>
      </c>
      <c r="E234" s="7" t="s">
        <v>327</v>
      </c>
      <c r="F234" s="9" t="s">
        <v>328</v>
      </c>
      <c r="G234" s="9" t="s">
        <v>329</v>
      </c>
      <c r="H234" s="10">
        <v>1120</v>
      </c>
      <c r="I234" s="10">
        <v>4000</v>
      </c>
      <c r="J234" s="11">
        <v>280</v>
      </c>
      <c r="K234" s="9" t="s">
        <v>63</v>
      </c>
    </row>
    <row r="235" spans="1:11" ht="13.5" customHeight="1" x14ac:dyDescent="0.25">
      <c r="A235" s="12" t="s">
        <v>332</v>
      </c>
      <c r="B235" s="12">
        <v>2022</v>
      </c>
      <c r="C235" s="18" t="s">
        <v>218</v>
      </c>
      <c r="D235" s="14" t="s">
        <v>326</v>
      </c>
      <c r="E235" s="12" t="s">
        <v>327</v>
      </c>
      <c r="F235" s="14" t="s">
        <v>328</v>
      </c>
      <c r="G235" s="14" t="s">
        <v>329</v>
      </c>
      <c r="H235" s="15">
        <v>1480</v>
      </c>
      <c r="I235" s="15">
        <v>3794.9</v>
      </c>
      <c r="J235" s="16">
        <v>390</v>
      </c>
      <c r="K235" s="14" t="s">
        <v>63</v>
      </c>
    </row>
    <row r="236" spans="1:11" ht="13.5" customHeight="1" x14ac:dyDescent="0.25">
      <c r="A236" s="7" t="s">
        <v>333</v>
      </c>
      <c r="B236" s="7">
        <v>2023</v>
      </c>
      <c r="C236" s="17" t="s">
        <v>218</v>
      </c>
      <c r="D236" s="9" t="s">
        <v>326</v>
      </c>
      <c r="E236" s="7" t="s">
        <v>327</v>
      </c>
      <c r="F236" s="9" t="s">
        <v>328</v>
      </c>
      <c r="G236" s="9" t="s">
        <v>329</v>
      </c>
      <c r="H236" s="10">
        <v>1380</v>
      </c>
      <c r="I236" s="10">
        <v>4451.6000000000004</v>
      </c>
      <c r="J236" s="11">
        <v>310</v>
      </c>
      <c r="K236" s="9" t="s">
        <v>63</v>
      </c>
    </row>
    <row r="237" spans="1:11" ht="13.5" customHeight="1" x14ac:dyDescent="0.25">
      <c r="A237" s="12" t="s">
        <v>334</v>
      </c>
      <c r="B237" s="12">
        <v>2024</v>
      </c>
      <c r="C237" s="18" t="s">
        <v>218</v>
      </c>
      <c r="D237" s="14" t="s">
        <v>326</v>
      </c>
      <c r="E237" s="12" t="s">
        <v>327</v>
      </c>
      <c r="F237" s="14" t="s">
        <v>328</v>
      </c>
      <c r="G237" s="14" t="s">
        <v>329</v>
      </c>
      <c r="H237" s="15">
        <v>1260</v>
      </c>
      <c r="I237" s="15">
        <v>4666.7</v>
      </c>
      <c r="J237" s="16">
        <v>270</v>
      </c>
      <c r="K237" s="14" t="s">
        <v>63</v>
      </c>
    </row>
    <row r="238" spans="1:11" ht="13.5" customHeight="1" x14ac:dyDescent="0.25">
      <c r="A238" s="7" t="s">
        <v>335</v>
      </c>
      <c r="B238" s="7">
        <v>2019</v>
      </c>
      <c r="C238" s="17" t="s">
        <v>218</v>
      </c>
      <c r="D238" s="9" t="s">
        <v>326</v>
      </c>
      <c r="E238" s="7" t="s">
        <v>327</v>
      </c>
      <c r="F238" s="9" t="s">
        <v>336</v>
      </c>
      <c r="G238" s="9" t="s">
        <v>165</v>
      </c>
      <c r="H238" s="10">
        <v>620</v>
      </c>
      <c r="I238" s="10">
        <v>3100</v>
      </c>
      <c r="J238" s="11">
        <v>200</v>
      </c>
      <c r="K238" s="9" t="s">
        <v>63</v>
      </c>
    </row>
    <row r="239" spans="1:11" ht="13.5" customHeight="1" x14ac:dyDescent="0.25">
      <c r="A239" s="12" t="s">
        <v>337</v>
      </c>
      <c r="B239" s="12">
        <v>2020</v>
      </c>
      <c r="C239" s="18" t="s">
        <v>218</v>
      </c>
      <c r="D239" s="14" t="s">
        <v>326</v>
      </c>
      <c r="E239" s="12" t="s">
        <v>327</v>
      </c>
      <c r="F239" s="14" t="s">
        <v>336</v>
      </c>
      <c r="G239" s="14" t="s">
        <v>165</v>
      </c>
      <c r="H239" s="15">
        <v>660</v>
      </c>
      <c r="I239" s="15">
        <v>3142.9</v>
      </c>
      <c r="J239" s="16">
        <v>210</v>
      </c>
      <c r="K239" s="14" t="s">
        <v>63</v>
      </c>
    </row>
    <row r="240" spans="1:11" ht="13.5" customHeight="1" x14ac:dyDescent="0.25">
      <c r="A240" s="7" t="s">
        <v>338</v>
      </c>
      <c r="B240" s="7">
        <v>2021</v>
      </c>
      <c r="C240" s="17" t="s">
        <v>218</v>
      </c>
      <c r="D240" s="9" t="s">
        <v>326</v>
      </c>
      <c r="E240" s="7" t="s">
        <v>327</v>
      </c>
      <c r="F240" s="9" t="s">
        <v>336</v>
      </c>
      <c r="G240" s="9" t="s">
        <v>165</v>
      </c>
      <c r="H240" s="10">
        <v>750</v>
      </c>
      <c r="I240" s="10">
        <v>2678.6</v>
      </c>
      <c r="J240" s="11">
        <v>280</v>
      </c>
      <c r="K240" s="9" t="s">
        <v>63</v>
      </c>
    </row>
    <row r="241" spans="1:11" ht="13.5" customHeight="1" x14ac:dyDescent="0.25">
      <c r="A241" s="12" t="s">
        <v>339</v>
      </c>
      <c r="B241" s="12">
        <v>2022</v>
      </c>
      <c r="C241" s="18" t="s">
        <v>218</v>
      </c>
      <c r="D241" s="14" t="s">
        <v>326</v>
      </c>
      <c r="E241" s="12" t="s">
        <v>327</v>
      </c>
      <c r="F241" s="14" t="s">
        <v>336</v>
      </c>
      <c r="G241" s="14" t="s">
        <v>165</v>
      </c>
      <c r="H241" s="15">
        <v>1000</v>
      </c>
      <c r="I241" s="15">
        <v>2564.1</v>
      </c>
      <c r="J241" s="16">
        <v>390</v>
      </c>
      <c r="K241" s="14" t="s">
        <v>63</v>
      </c>
    </row>
    <row r="242" spans="1:11" ht="13.5" customHeight="1" x14ac:dyDescent="0.25">
      <c r="A242" s="7" t="s">
        <v>340</v>
      </c>
      <c r="B242" s="7">
        <v>2023</v>
      </c>
      <c r="C242" s="17" t="s">
        <v>218</v>
      </c>
      <c r="D242" s="9" t="s">
        <v>326</v>
      </c>
      <c r="E242" s="7" t="s">
        <v>327</v>
      </c>
      <c r="F242" s="9" t="s">
        <v>336</v>
      </c>
      <c r="G242" s="9" t="s">
        <v>165</v>
      </c>
      <c r="H242" s="10">
        <v>920</v>
      </c>
      <c r="I242" s="10">
        <v>2967.7</v>
      </c>
      <c r="J242" s="11">
        <v>310</v>
      </c>
      <c r="K242" s="9" t="s">
        <v>63</v>
      </c>
    </row>
    <row r="243" spans="1:11" ht="13.5" customHeight="1" x14ac:dyDescent="0.25">
      <c r="A243" s="12" t="s">
        <v>341</v>
      </c>
      <c r="B243" s="12">
        <v>2024</v>
      </c>
      <c r="C243" s="18" t="s">
        <v>218</v>
      </c>
      <c r="D243" s="14" t="s">
        <v>326</v>
      </c>
      <c r="E243" s="12" t="s">
        <v>327</v>
      </c>
      <c r="F243" s="14" t="s">
        <v>336</v>
      </c>
      <c r="G243" s="14" t="s">
        <v>165</v>
      </c>
      <c r="H243" s="15">
        <v>860</v>
      </c>
      <c r="I243" s="15">
        <v>3185.2</v>
      </c>
      <c r="J243" s="16">
        <v>270</v>
      </c>
      <c r="K243" s="14" t="s">
        <v>63</v>
      </c>
    </row>
    <row r="244" spans="1:11" ht="13.5" customHeight="1" x14ac:dyDescent="0.25">
      <c r="A244" s="7" t="s">
        <v>342</v>
      </c>
      <c r="B244" s="7">
        <v>2019</v>
      </c>
      <c r="C244" s="17" t="s">
        <v>218</v>
      </c>
      <c r="D244" s="9" t="s">
        <v>326</v>
      </c>
      <c r="E244" s="7" t="s">
        <v>327</v>
      </c>
      <c r="F244" s="9" t="s">
        <v>343</v>
      </c>
      <c r="G244" s="9" t="s">
        <v>79</v>
      </c>
      <c r="H244" s="10">
        <v>360</v>
      </c>
      <c r="I244" s="10">
        <v>1800</v>
      </c>
      <c r="J244" s="11">
        <v>200</v>
      </c>
      <c r="K244" s="9" t="s">
        <v>63</v>
      </c>
    </row>
    <row r="245" spans="1:11" ht="13.5" customHeight="1" x14ac:dyDescent="0.25">
      <c r="A245" s="12" t="s">
        <v>344</v>
      </c>
      <c r="B245" s="12">
        <v>2020</v>
      </c>
      <c r="C245" s="18" t="s">
        <v>218</v>
      </c>
      <c r="D245" s="14" t="s">
        <v>326</v>
      </c>
      <c r="E245" s="12" t="s">
        <v>327</v>
      </c>
      <c r="F245" s="14" t="s">
        <v>343</v>
      </c>
      <c r="G245" s="14" t="s">
        <v>79</v>
      </c>
      <c r="H245" s="15">
        <v>380</v>
      </c>
      <c r="I245" s="15">
        <v>1809.5</v>
      </c>
      <c r="J245" s="16">
        <v>210</v>
      </c>
      <c r="K245" s="14" t="s">
        <v>63</v>
      </c>
    </row>
    <row r="246" spans="1:11" ht="13.5" customHeight="1" x14ac:dyDescent="0.25">
      <c r="A246" s="7" t="s">
        <v>345</v>
      </c>
      <c r="B246" s="7">
        <v>2021</v>
      </c>
      <c r="C246" s="17" t="s">
        <v>218</v>
      </c>
      <c r="D246" s="9" t="s">
        <v>326</v>
      </c>
      <c r="E246" s="7" t="s">
        <v>327</v>
      </c>
      <c r="F246" s="9" t="s">
        <v>343</v>
      </c>
      <c r="G246" s="9" t="s">
        <v>79</v>
      </c>
      <c r="H246" s="10">
        <v>430</v>
      </c>
      <c r="I246" s="10">
        <v>1535.7</v>
      </c>
      <c r="J246" s="11">
        <v>280</v>
      </c>
      <c r="K246" s="9" t="s">
        <v>63</v>
      </c>
    </row>
    <row r="247" spans="1:11" ht="13.5" customHeight="1" x14ac:dyDescent="0.25">
      <c r="A247" s="12" t="s">
        <v>346</v>
      </c>
      <c r="B247" s="12">
        <v>2022</v>
      </c>
      <c r="C247" s="18" t="s">
        <v>218</v>
      </c>
      <c r="D247" s="14" t="s">
        <v>326</v>
      </c>
      <c r="E247" s="12" t="s">
        <v>327</v>
      </c>
      <c r="F247" s="14" t="s">
        <v>343</v>
      </c>
      <c r="G247" s="14" t="s">
        <v>79</v>
      </c>
      <c r="H247" s="15">
        <v>290</v>
      </c>
      <c r="I247" s="15">
        <v>743.6</v>
      </c>
      <c r="J247" s="16">
        <v>390</v>
      </c>
      <c r="K247" s="14" t="s">
        <v>63</v>
      </c>
    </row>
    <row r="248" spans="1:11" ht="13.5" customHeight="1" x14ac:dyDescent="0.25">
      <c r="A248" s="7" t="s">
        <v>347</v>
      </c>
      <c r="B248" s="7">
        <v>2023</v>
      </c>
      <c r="C248" s="17" t="s">
        <v>218</v>
      </c>
      <c r="D248" s="9" t="s">
        <v>326</v>
      </c>
      <c r="E248" s="7" t="s">
        <v>327</v>
      </c>
      <c r="F248" s="9" t="s">
        <v>343</v>
      </c>
      <c r="G248" s="9" t="s">
        <v>79</v>
      </c>
      <c r="H248" s="10">
        <v>360</v>
      </c>
      <c r="I248" s="10">
        <v>1161.3</v>
      </c>
      <c r="J248" s="11">
        <v>310</v>
      </c>
      <c r="K248" s="9" t="s">
        <v>63</v>
      </c>
    </row>
    <row r="249" spans="1:11" ht="13.5" customHeight="1" x14ac:dyDescent="0.25">
      <c r="A249" s="12" t="s">
        <v>348</v>
      </c>
      <c r="B249" s="12">
        <v>2024</v>
      </c>
      <c r="C249" s="18" t="s">
        <v>218</v>
      </c>
      <c r="D249" s="14" t="s">
        <v>326</v>
      </c>
      <c r="E249" s="12" t="s">
        <v>327</v>
      </c>
      <c r="F249" s="14" t="s">
        <v>343</v>
      </c>
      <c r="G249" s="14" t="s">
        <v>79</v>
      </c>
      <c r="H249" s="15">
        <v>390</v>
      </c>
      <c r="I249" s="15">
        <v>1444.4</v>
      </c>
      <c r="J249" s="16">
        <v>270</v>
      </c>
      <c r="K249" s="14" t="s">
        <v>63</v>
      </c>
    </row>
    <row r="250" spans="1:11" ht="13.5" customHeight="1" x14ac:dyDescent="0.25">
      <c r="A250" s="7" t="s">
        <v>349</v>
      </c>
      <c r="B250" s="7">
        <v>2019</v>
      </c>
      <c r="C250" s="17" t="s">
        <v>218</v>
      </c>
      <c r="D250" s="9" t="s">
        <v>350</v>
      </c>
      <c r="E250" s="7" t="s">
        <v>351</v>
      </c>
      <c r="F250" s="9" t="s">
        <v>70</v>
      </c>
      <c r="G250" s="9" t="s">
        <v>71</v>
      </c>
      <c r="H250" s="10">
        <v>1840</v>
      </c>
      <c r="I250" s="10">
        <v>1672.7</v>
      </c>
      <c r="J250" s="11">
        <v>1100</v>
      </c>
      <c r="K250" s="9" t="s">
        <v>63</v>
      </c>
    </row>
    <row r="251" spans="1:11" ht="13.5" customHeight="1" x14ac:dyDescent="0.25">
      <c r="A251" s="12" t="s">
        <v>352</v>
      </c>
      <c r="B251" s="12">
        <v>2020</v>
      </c>
      <c r="C251" s="18" t="s">
        <v>218</v>
      </c>
      <c r="D251" s="14" t="s">
        <v>350</v>
      </c>
      <c r="E251" s="12" t="s">
        <v>351</v>
      </c>
      <c r="F251" s="14" t="s">
        <v>70</v>
      </c>
      <c r="G251" s="14" t="s">
        <v>71</v>
      </c>
      <c r="H251" s="15">
        <v>1440</v>
      </c>
      <c r="I251" s="15">
        <v>1371.4</v>
      </c>
      <c r="J251" s="16">
        <v>1050</v>
      </c>
      <c r="K251" s="14" t="s">
        <v>63</v>
      </c>
    </row>
    <row r="252" spans="1:11" ht="13.5" customHeight="1" x14ac:dyDescent="0.25">
      <c r="A252" s="7" t="s">
        <v>353</v>
      </c>
      <c r="B252" s="7">
        <v>2021</v>
      </c>
      <c r="C252" s="17" t="s">
        <v>218</v>
      </c>
      <c r="D252" s="9" t="s">
        <v>350</v>
      </c>
      <c r="E252" s="7" t="s">
        <v>351</v>
      </c>
      <c r="F252" s="9" t="s">
        <v>70</v>
      </c>
      <c r="G252" s="9" t="s">
        <v>71</v>
      </c>
      <c r="H252" s="10">
        <v>1940</v>
      </c>
      <c r="I252" s="10">
        <v>1616.7</v>
      </c>
      <c r="J252" s="11">
        <v>1200</v>
      </c>
      <c r="K252" s="9" t="s">
        <v>63</v>
      </c>
    </row>
    <row r="253" spans="1:11" ht="13.5" customHeight="1" x14ac:dyDescent="0.25">
      <c r="A253" s="12" t="s">
        <v>354</v>
      </c>
      <c r="B253" s="12">
        <v>2022</v>
      </c>
      <c r="C253" s="18" t="s">
        <v>218</v>
      </c>
      <c r="D253" s="14" t="s">
        <v>350</v>
      </c>
      <c r="E253" s="12" t="s">
        <v>351</v>
      </c>
      <c r="F253" s="14" t="s">
        <v>70</v>
      </c>
      <c r="G253" s="14" t="s">
        <v>71</v>
      </c>
      <c r="H253" s="15">
        <v>2440</v>
      </c>
      <c r="I253" s="15">
        <v>1682.8</v>
      </c>
      <c r="J253" s="16">
        <v>1450</v>
      </c>
      <c r="K253" s="14" t="s">
        <v>63</v>
      </c>
    </row>
    <row r="254" spans="1:11" ht="13.5" customHeight="1" x14ac:dyDescent="0.25">
      <c r="A254" s="7" t="s">
        <v>355</v>
      </c>
      <c r="B254" s="7">
        <v>2023</v>
      </c>
      <c r="C254" s="17" t="s">
        <v>218</v>
      </c>
      <c r="D254" s="9" t="s">
        <v>350</v>
      </c>
      <c r="E254" s="7" t="s">
        <v>351</v>
      </c>
      <c r="F254" s="9" t="s">
        <v>70</v>
      </c>
      <c r="G254" s="9" t="s">
        <v>71</v>
      </c>
      <c r="H254" s="10">
        <v>2240</v>
      </c>
      <c r="I254" s="10">
        <v>1723.1</v>
      </c>
      <c r="J254" s="11">
        <v>1300</v>
      </c>
      <c r="K254" s="9" t="s">
        <v>63</v>
      </c>
    </row>
    <row r="255" spans="1:11" ht="13.5" customHeight="1" x14ac:dyDescent="0.25">
      <c r="A255" s="12" t="s">
        <v>356</v>
      </c>
      <c r="B255" s="12">
        <v>2024</v>
      </c>
      <c r="C255" s="18" t="s">
        <v>218</v>
      </c>
      <c r="D255" s="14" t="s">
        <v>350</v>
      </c>
      <c r="E255" s="12" t="s">
        <v>351</v>
      </c>
      <c r="F255" s="14" t="s">
        <v>70</v>
      </c>
      <c r="G255" s="14" t="s">
        <v>71</v>
      </c>
      <c r="H255" s="15">
        <v>2440</v>
      </c>
      <c r="I255" s="15">
        <v>1807.4</v>
      </c>
      <c r="J255" s="16">
        <v>1350</v>
      </c>
      <c r="K255" s="14" t="s">
        <v>63</v>
      </c>
    </row>
    <row r="256" spans="1:11" ht="13.5" customHeight="1" x14ac:dyDescent="0.25">
      <c r="A256" s="7" t="s">
        <v>357</v>
      </c>
      <c r="B256" s="7">
        <v>2019</v>
      </c>
      <c r="C256" s="17" t="s">
        <v>218</v>
      </c>
      <c r="D256" s="9" t="s">
        <v>350</v>
      </c>
      <c r="E256" s="7" t="s">
        <v>351</v>
      </c>
      <c r="F256" s="9" t="s">
        <v>185</v>
      </c>
      <c r="G256" s="9" t="s">
        <v>94</v>
      </c>
      <c r="H256" s="10">
        <v>1140</v>
      </c>
      <c r="I256" s="10">
        <v>1036.4000000000001</v>
      </c>
      <c r="J256" s="11">
        <v>1100</v>
      </c>
      <c r="K256" s="9" t="s">
        <v>63</v>
      </c>
    </row>
    <row r="257" spans="1:11" ht="13.5" customHeight="1" x14ac:dyDescent="0.25">
      <c r="A257" s="12" t="s">
        <v>358</v>
      </c>
      <c r="B257" s="12">
        <v>2020</v>
      </c>
      <c r="C257" s="18" t="s">
        <v>218</v>
      </c>
      <c r="D257" s="14" t="s">
        <v>350</v>
      </c>
      <c r="E257" s="12" t="s">
        <v>351</v>
      </c>
      <c r="F257" s="14" t="s">
        <v>185</v>
      </c>
      <c r="G257" s="14" t="s">
        <v>94</v>
      </c>
      <c r="H257" s="15">
        <v>860</v>
      </c>
      <c r="I257" s="15">
        <v>819</v>
      </c>
      <c r="J257" s="16">
        <v>1050</v>
      </c>
      <c r="K257" s="14" t="s">
        <v>63</v>
      </c>
    </row>
    <row r="258" spans="1:11" ht="13.5" customHeight="1" x14ac:dyDescent="0.25">
      <c r="A258" s="7" t="s">
        <v>359</v>
      </c>
      <c r="B258" s="7">
        <v>2021</v>
      </c>
      <c r="C258" s="17" t="s">
        <v>218</v>
      </c>
      <c r="D258" s="9" t="s">
        <v>350</v>
      </c>
      <c r="E258" s="7" t="s">
        <v>351</v>
      </c>
      <c r="F258" s="9" t="s">
        <v>185</v>
      </c>
      <c r="G258" s="9" t="s">
        <v>94</v>
      </c>
      <c r="H258" s="10">
        <v>1160</v>
      </c>
      <c r="I258" s="10">
        <v>966.7</v>
      </c>
      <c r="J258" s="11">
        <v>1200</v>
      </c>
      <c r="K258" s="9" t="s">
        <v>63</v>
      </c>
    </row>
    <row r="259" spans="1:11" ht="13.5" customHeight="1" x14ac:dyDescent="0.25">
      <c r="A259" s="12" t="s">
        <v>360</v>
      </c>
      <c r="B259" s="12">
        <v>2022</v>
      </c>
      <c r="C259" s="18" t="s">
        <v>218</v>
      </c>
      <c r="D259" s="14" t="s">
        <v>350</v>
      </c>
      <c r="E259" s="12" t="s">
        <v>351</v>
      </c>
      <c r="F259" s="14" t="s">
        <v>185</v>
      </c>
      <c r="G259" s="14" t="s">
        <v>94</v>
      </c>
      <c r="H259" s="15">
        <v>1460</v>
      </c>
      <c r="I259" s="15">
        <v>1006.9</v>
      </c>
      <c r="J259" s="16">
        <v>1450</v>
      </c>
      <c r="K259" s="14" t="s">
        <v>63</v>
      </c>
    </row>
    <row r="260" spans="1:11" ht="13.5" customHeight="1" x14ac:dyDescent="0.25">
      <c r="A260" s="7" t="s">
        <v>361</v>
      </c>
      <c r="B260" s="7">
        <v>2023</v>
      </c>
      <c r="C260" s="17" t="s">
        <v>218</v>
      </c>
      <c r="D260" s="9" t="s">
        <v>350</v>
      </c>
      <c r="E260" s="7" t="s">
        <v>351</v>
      </c>
      <c r="F260" s="9" t="s">
        <v>185</v>
      </c>
      <c r="G260" s="9" t="s">
        <v>94</v>
      </c>
      <c r="H260" s="10">
        <v>1320</v>
      </c>
      <c r="I260" s="10">
        <v>1015.4</v>
      </c>
      <c r="J260" s="11">
        <v>1300</v>
      </c>
      <c r="K260" s="9" t="s">
        <v>63</v>
      </c>
    </row>
    <row r="261" spans="1:11" ht="13.5" customHeight="1" x14ac:dyDescent="0.25">
      <c r="A261" s="12" t="s">
        <v>362</v>
      </c>
      <c r="B261" s="12">
        <v>2024</v>
      </c>
      <c r="C261" s="18" t="s">
        <v>218</v>
      </c>
      <c r="D261" s="14" t="s">
        <v>350</v>
      </c>
      <c r="E261" s="12" t="s">
        <v>351</v>
      </c>
      <c r="F261" s="14" t="s">
        <v>185</v>
      </c>
      <c r="G261" s="14" t="s">
        <v>94</v>
      </c>
      <c r="H261" s="15">
        <v>1460</v>
      </c>
      <c r="I261" s="15">
        <v>1081.5</v>
      </c>
      <c r="J261" s="16">
        <v>1350</v>
      </c>
      <c r="K261" s="14" t="s">
        <v>63</v>
      </c>
    </row>
    <row r="262" spans="1:11" ht="13.5" customHeight="1" x14ac:dyDescent="0.25">
      <c r="A262" s="7" t="s">
        <v>363</v>
      </c>
      <c r="B262" s="7">
        <v>2019</v>
      </c>
      <c r="C262" s="17" t="s">
        <v>218</v>
      </c>
      <c r="D262" s="9" t="s">
        <v>350</v>
      </c>
      <c r="E262" s="7" t="s">
        <v>351</v>
      </c>
      <c r="F262" s="9" t="s">
        <v>266</v>
      </c>
      <c r="G262" s="9" t="s">
        <v>79</v>
      </c>
      <c r="H262" s="10">
        <v>720</v>
      </c>
      <c r="I262" s="10">
        <v>654.5</v>
      </c>
      <c r="J262" s="11">
        <v>1100</v>
      </c>
      <c r="K262" s="9" t="s">
        <v>63</v>
      </c>
    </row>
    <row r="263" spans="1:11" ht="13.5" customHeight="1" x14ac:dyDescent="0.25">
      <c r="A263" s="12" t="s">
        <v>364</v>
      </c>
      <c r="B263" s="12">
        <v>2020</v>
      </c>
      <c r="C263" s="18" t="s">
        <v>218</v>
      </c>
      <c r="D263" s="14" t="s">
        <v>350</v>
      </c>
      <c r="E263" s="12" t="s">
        <v>351</v>
      </c>
      <c r="F263" s="14" t="s">
        <v>266</v>
      </c>
      <c r="G263" s="14" t="s">
        <v>79</v>
      </c>
      <c r="H263" s="15">
        <v>560</v>
      </c>
      <c r="I263" s="15">
        <v>533.29999999999995</v>
      </c>
      <c r="J263" s="16">
        <v>1050</v>
      </c>
      <c r="K263" s="14" t="s">
        <v>63</v>
      </c>
    </row>
    <row r="264" spans="1:11" ht="13.5" customHeight="1" x14ac:dyDescent="0.25">
      <c r="A264" s="7" t="s">
        <v>365</v>
      </c>
      <c r="B264" s="7">
        <v>2021</v>
      </c>
      <c r="C264" s="17" t="s">
        <v>218</v>
      </c>
      <c r="D264" s="9" t="s">
        <v>350</v>
      </c>
      <c r="E264" s="7" t="s">
        <v>351</v>
      </c>
      <c r="F264" s="9" t="s">
        <v>266</v>
      </c>
      <c r="G264" s="9" t="s">
        <v>79</v>
      </c>
      <c r="H264" s="10">
        <v>740</v>
      </c>
      <c r="I264" s="10">
        <v>616.70000000000005</v>
      </c>
      <c r="J264" s="11">
        <v>1200</v>
      </c>
      <c r="K264" s="9" t="s">
        <v>63</v>
      </c>
    </row>
    <row r="265" spans="1:11" ht="13.5" customHeight="1" x14ac:dyDescent="0.25">
      <c r="A265" s="12" t="s">
        <v>366</v>
      </c>
      <c r="B265" s="12">
        <v>2022</v>
      </c>
      <c r="C265" s="18" t="s">
        <v>218</v>
      </c>
      <c r="D265" s="14" t="s">
        <v>350</v>
      </c>
      <c r="E265" s="12" t="s">
        <v>351</v>
      </c>
      <c r="F265" s="14" t="s">
        <v>266</v>
      </c>
      <c r="G265" s="14" t="s">
        <v>79</v>
      </c>
      <c r="H265" s="15">
        <v>940</v>
      </c>
      <c r="I265" s="15">
        <v>648.29999999999995</v>
      </c>
      <c r="J265" s="16">
        <v>1450</v>
      </c>
      <c r="K265" s="14" t="s">
        <v>63</v>
      </c>
    </row>
    <row r="266" spans="1:11" ht="13.5" customHeight="1" x14ac:dyDescent="0.25">
      <c r="A266" s="7" t="s">
        <v>367</v>
      </c>
      <c r="B266" s="7">
        <v>2023</v>
      </c>
      <c r="C266" s="17" t="s">
        <v>218</v>
      </c>
      <c r="D266" s="9" t="s">
        <v>350</v>
      </c>
      <c r="E266" s="7" t="s">
        <v>351</v>
      </c>
      <c r="F266" s="9" t="s">
        <v>266</v>
      </c>
      <c r="G266" s="9" t="s">
        <v>79</v>
      </c>
      <c r="H266" s="10">
        <v>840</v>
      </c>
      <c r="I266" s="10">
        <v>646.20000000000005</v>
      </c>
      <c r="J266" s="11">
        <v>1300</v>
      </c>
      <c r="K266" s="9" t="s">
        <v>63</v>
      </c>
    </row>
    <row r="267" spans="1:11" ht="13.5" customHeight="1" x14ac:dyDescent="0.25">
      <c r="A267" s="12" t="s">
        <v>368</v>
      </c>
      <c r="B267" s="12">
        <v>2024</v>
      </c>
      <c r="C267" s="18" t="s">
        <v>218</v>
      </c>
      <c r="D267" s="14" t="s">
        <v>350</v>
      </c>
      <c r="E267" s="12" t="s">
        <v>351</v>
      </c>
      <c r="F267" s="14" t="s">
        <v>266</v>
      </c>
      <c r="G267" s="14" t="s">
        <v>79</v>
      </c>
      <c r="H267" s="15">
        <v>940</v>
      </c>
      <c r="I267" s="15">
        <v>696.3</v>
      </c>
      <c r="J267" s="16">
        <v>1350</v>
      </c>
      <c r="K267" s="14" t="s">
        <v>63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6AC9-384A-4619-A629-CD606347767B}">
  <sheetPr>
    <tabColor theme="0"/>
  </sheetPr>
  <dimension ref="A1:K267"/>
  <sheetViews>
    <sheetView showGridLines="0" tabSelected="1" zoomScaleNormal="100" workbookViewId="0">
      <pane ySplit="3" topLeftCell="A207" activePane="bottomLeft" state="frozen"/>
      <selection pane="bottomLeft" activeCell="O242" sqref="O242"/>
    </sheetView>
  </sheetViews>
  <sheetFormatPr defaultColWidth="8.7109375" defaultRowHeight="15" x14ac:dyDescent="0.25"/>
  <cols>
    <col min="1" max="1" width="9.42578125" bestFit="1" customWidth="1"/>
    <col min="2" max="2" width="5" bestFit="1" customWidth="1"/>
    <col min="3" max="3" width="10.5703125" bestFit="1" customWidth="1"/>
    <col min="4" max="4" width="16.7109375" bestFit="1" customWidth="1"/>
    <col min="5" max="5" width="8.42578125" bestFit="1" customWidth="1"/>
    <col min="6" max="6" width="14.42578125" bestFit="1" customWidth="1"/>
    <col min="7" max="7" width="12.85546875" bestFit="1" customWidth="1"/>
    <col min="8" max="8" width="18.42578125" bestFit="1" customWidth="1"/>
    <col min="9" max="9" width="11.5703125" bestFit="1" customWidth="1"/>
    <col min="10" max="10" width="17.5703125" bestFit="1" customWidth="1"/>
    <col min="11" max="11" width="14" bestFit="1" customWidth="1"/>
  </cols>
  <sheetData>
    <row r="1" spans="1:11" ht="27.75" customHeight="1" x14ac:dyDescent="0.25">
      <c r="A1" s="34" t="s">
        <v>47</v>
      </c>
      <c r="B1" s="34" t="s">
        <v>48</v>
      </c>
      <c r="C1" s="34" t="s">
        <v>49</v>
      </c>
      <c r="D1" s="34" t="s">
        <v>50</v>
      </c>
      <c r="E1" s="34" t="s">
        <v>51</v>
      </c>
      <c r="F1" s="34" t="s">
        <v>52</v>
      </c>
      <c r="G1" s="34" t="s">
        <v>53</v>
      </c>
      <c r="H1" s="34" t="s">
        <v>54</v>
      </c>
      <c r="I1" s="34" t="s">
        <v>55</v>
      </c>
      <c r="J1" s="34" t="s">
        <v>56</v>
      </c>
      <c r="K1" s="34" t="s">
        <v>57</v>
      </c>
    </row>
    <row r="2" spans="1:11" ht="18" customHeight="1" x14ac:dyDescent="0.25">
      <c r="A2" s="7" t="s">
        <v>58</v>
      </c>
      <c r="B2" s="7">
        <v>2019</v>
      </c>
      <c r="C2" s="9" t="s">
        <v>59</v>
      </c>
      <c r="D2" s="9" t="s">
        <v>60</v>
      </c>
      <c r="E2" s="7" t="s">
        <v>42</v>
      </c>
      <c r="F2" s="9" t="s">
        <v>61</v>
      </c>
      <c r="G2" s="9" t="s">
        <v>62</v>
      </c>
      <c r="H2" s="10">
        <v>4820</v>
      </c>
      <c r="I2" s="10">
        <v>6713.1</v>
      </c>
      <c r="J2" s="11">
        <v>718</v>
      </c>
      <c r="K2" s="9" t="s">
        <v>63</v>
      </c>
    </row>
    <row r="3" spans="1:11" ht="19.5" customHeight="1" x14ac:dyDescent="0.25">
      <c r="A3" s="12" t="s">
        <v>64</v>
      </c>
      <c r="B3" s="12">
        <v>2020</v>
      </c>
      <c r="C3" s="14" t="s">
        <v>59</v>
      </c>
      <c r="D3" s="14" t="s">
        <v>60</v>
      </c>
      <c r="E3" s="12" t="s">
        <v>42</v>
      </c>
      <c r="F3" s="14" t="s">
        <v>61</v>
      </c>
      <c r="G3" s="14" t="s">
        <v>62</v>
      </c>
      <c r="H3" s="15">
        <v>4150</v>
      </c>
      <c r="I3" s="15">
        <v>5677.2</v>
      </c>
      <c r="J3" s="16">
        <v>731</v>
      </c>
      <c r="K3" s="14" t="s">
        <v>63</v>
      </c>
    </row>
    <row r="4" spans="1:11" ht="13.5" customHeight="1" x14ac:dyDescent="0.25">
      <c r="A4" s="7" t="s">
        <v>65</v>
      </c>
      <c r="B4" s="7">
        <v>2021</v>
      </c>
      <c r="C4" s="9" t="s">
        <v>59</v>
      </c>
      <c r="D4" s="9" t="s">
        <v>60</v>
      </c>
      <c r="E4" s="7" t="s">
        <v>42</v>
      </c>
      <c r="F4" s="9" t="s">
        <v>61</v>
      </c>
      <c r="G4" s="9" t="s">
        <v>62</v>
      </c>
      <c r="H4" s="10">
        <v>5280</v>
      </c>
      <c r="I4" s="10">
        <v>4808.7</v>
      </c>
      <c r="J4" s="11">
        <v>1098</v>
      </c>
      <c r="K4" s="9" t="s">
        <v>63</v>
      </c>
    </row>
    <row r="5" spans="1:11" ht="13.5" customHeight="1" x14ac:dyDescent="0.25">
      <c r="A5" s="12" t="s">
        <v>66</v>
      </c>
      <c r="B5" s="12">
        <v>2022</v>
      </c>
      <c r="C5" s="14" t="s">
        <v>59</v>
      </c>
      <c r="D5" s="14" t="s">
        <v>60</v>
      </c>
      <c r="E5" s="12" t="s">
        <v>42</v>
      </c>
      <c r="F5" s="14" t="s">
        <v>61</v>
      </c>
      <c r="G5" s="14" t="s">
        <v>62</v>
      </c>
      <c r="H5" s="15">
        <v>6850</v>
      </c>
      <c r="I5" s="15">
        <v>4823.8999999999996</v>
      </c>
      <c r="J5" s="16">
        <v>1420</v>
      </c>
      <c r="K5" s="14" t="s">
        <v>63</v>
      </c>
    </row>
    <row r="6" spans="1:11" ht="13.5" customHeight="1" x14ac:dyDescent="0.25">
      <c r="A6" s="7" t="s">
        <v>67</v>
      </c>
      <c r="B6" s="7">
        <v>2023</v>
      </c>
      <c r="C6" s="9" t="s">
        <v>59</v>
      </c>
      <c r="D6" s="9" t="s">
        <v>60</v>
      </c>
      <c r="E6" s="7" t="s">
        <v>42</v>
      </c>
      <c r="F6" s="9" t="s">
        <v>61</v>
      </c>
      <c r="G6" s="9" t="s">
        <v>62</v>
      </c>
      <c r="H6" s="10">
        <v>5940</v>
      </c>
      <c r="I6" s="10">
        <v>6456.5</v>
      </c>
      <c r="J6" s="11">
        <v>920</v>
      </c>
      <c r="K6" s="9" t="s">
        <v>63</v>
      </c>
    </row>
    <row r="7" spans="1:11" ht="13.5" customHeight="1" x14ac:dyDescent="0.25">
      <c r="A7" s="12" t="s">
        <v>68</v>
      </c>
      <c r="B7" s="12">
        <v>2024</v>
      </c>
      <c r="C7" s="14" t="s">
        <v>59</v>
      </c>
      <c r="D7" s="14" t="s">
        <v>60</v>
      </c>
      <c r="E7" s="12" t="s">
        <v>42</v>
      </c>
      <c r="F7" s="14" t="s">
        <v>61</v>
      </c>
      <c r="G7" s="14" t="s">
        <v>62</v>
      </c>
      <c r="H7" s="15">
        <v>6250</v>
      </c>
      <c r="I7" s="15">
        <v>7183.9</v>
      </c>
      <c r="J7" s="16">
        <v>870</v>
      </c>
      <c r="K7" s="14" t="s">
        <v>63</v>
      </c>
    </row>
    <row r="8" spans="1:11" ht="13.5" customHeight="1" x14ac:dyDescent="0.25">
      <c r="A8" s="7" t="s">
        <v>69</v>
      </c>
      <c r="B8" s="7">
        <v>2019</v>
      </c>
      <c r="C8" s="9" t="s">
        <v>59</v>
      </c>
      <c r="D8" s="9" t="s">
        <v>60</v>
      </c>
      <c r="E8" s="7" t="s">
        <v>42</v>
      </c>
      <c r="F8" s="9" t="s">
        <v>70</v>
      </c>
      <c r="G8" s="9" t="s">
        <v>71</v>
      </c>
      <c r="H8" s="10">
        <v>3240</v>
      </c>
      <c r="I8" s="10">
        <v>4512.5</v>
      </c>
      <c r="J8" s="11">
        <v>718</v>
      </c>
      <c r="K8" s="9" t="s">
        <v>63</v>
      </c>
    </row>
    <row r="9" spans="1:11" ht="13.5" customHeight="1" x14ac:dyDescent="0.25">
      <c r="A9" s="12" t="s">
        <v>72</v>
      </c>
      <c r="B9" s="12">
        <v>2020</v>
      </c>
      <c r="C9" s="14" t="s">
        <v>59</v>
      </c>
      <c r="D9" s="14" t="s">
        <v>60</v>
      </c>
      <c r="E9" s="12" t="s">
        <v>42</v>
      </c>
      <c r="F9" s="14" t="s">
        <v>70</v>
      </c>
      <c r="G9" s="14" t="s">
        <v>71</v>
      </c>
      <c r="H9" s="15">
        <v>2820</v>
      </c>
      <c r="I9" s="15">
        <v>3857.7</v>
      </c>
      <c r="J9" s="16">
        <v>731</v>
      </c>
      <c r="K9" s="14" t="s">
        <v>63</v>
      </c>
    </row>
    <row r="10" spans="1:11" ht="13.5" customHeight="1" x14ac:dyDescent="0.25">
      <c r="A10" s="7" t="s">
        <v>73</v>
      </c>
      <c r="B10" s="7">
        <v>2021</v>
      </c>
      <c r="C10" s="9" t="s">
        <v>59</v>
      </c>
      <c r="D10" s="9" t="s">
        <v>60</v>
      </c>
      <c r="E10" s="7" t="s">
        <v>42</v>
      </c>
      <c r="F10" s="9" t="s">
        <v>70</v>
      </c>
      <c r="G10" s="9" t="s">
        <v>71</v>
      </c>
      <c r="H10" s="10">
        <v>3640</v>
      </c>
      <c r="I10" s="10">
        <v>3315.1</v>
      </c>
      <c r="J10" s="11">
        <v>1098</v>
      </c>
      <c r="K10" s="9" t="s">
        <v>63</v>
      </c>
    </row>
    <row r="11" spans="1:11" ht="13.5" customHeight="1" x14ac:dyDescent="0.25">
      <c r="A11" s="12" t="s">
        <v>74</v>
      </c>
      <c r="B11" s="12">
        <v>2022</v>
      </c>
      <c r="C11" s="14" t="s">
        <v>59</v>
      </c>
      <c r="D11" s="14" t="s">
        <v>60</v>
      </c>
      <c r="E11" s="12" t="s">
        <v>42</v>
      </c>
      <c r="F11" s="14" t="s">
        <v>70</v>
      </c>
      <c r="G11" s="14" t="s">
        <v>71</v>
      </c>
      <c r="H11" s="15">
        <v>4520</v>
      </c>
      <c r="I11" s="15">
        <v>3183.1</v>
      </c>
      <c r="J11" s="16">
        <v>1420</v>
      </c>
      <c r="K11" s="14" t="s">
        <v>63</v>
      </c>
    </row>
    <row r="12" spans="1:11" ht="13.5" customHeight="1" x14ac:dyDescent="0.25">
      <c r="A12" s="7" t="s">
        <v>75</v>
      </c>
      <c r="B12" s="7">
        <v>2023</v>
      </c>
      <c r="C12" s="9" t="s">
        <v>59</v>
      </c>
      <c r="D12" s="9" t="s">
        <v>60</v>
      </c>
      <c r="E12" s="7" t="s">
        <v>42</v>
      </c>
      <c r="F12" s="9" t="s">
        <v>70</v>
      </c>
      <c r="G12" s="9" t="s">
        <v>71</v>
      </c>
      <c r="H12" s="10">
        <v>3940</v>
      </c>
      <c r="I12" s="10">
        <v>4282.6000000000004</v>
      </c>
      <c r="J12" s="11">
        <v>920</v>
      </c>
      <c r="K12" s="9" t="s">
        <v>63</v>
      </c>
    </row>
    <row r="13" spans="1:11" ht="13.5" customHeight="1" x14ac:dyDescent="0.25">
      <c r="A13" s="12" t="s">
        <v>76</v>
      </c>
      <c r="B13" s="12">
        <v>2024</v>
      </c>
      <c r="C13" s="14" t="s">
        <v>59</v>
      </c>
      <c r="D13" s="14" t="s">
        <v>60</v>
      </c>
      <c r="E13" s="12" t="s">
        <v>42</v>
      </c>
      <c r="F13" s="14" t="s">
        <v>70</v>
      </c>
      <c r="G13" s="14" t="s">
        <v>71</v>
      </c>
      <c r="H13" s="15">
        <v>4150</v>
      </c>
      <c r="I13" s="15">
        <v>4770.1000000000004</v>
      </c>
      <c r="J13" s="16">
        <v>870</v>
      </c>
      <c r="K13" s="14" t="s">
        <v>63</v>
      </c>
    </row>
    <row r="14" spans="1:11" ht="13.5" customHeight="1" x14ac:dyDescent="0.25">
      <c r="A14" s="7" t="s">
        <v>77</v>
      </c>
      <c r="B14" s="7">
        <v>2019</v>
      </c>
      <c r="C14" s="9" t="s">
        <v>59</v>
      </c>
      <c r="D14" s="9" t="s">
        <v>60</v>
      </c>
      <c r="E14" s="7" t="s">
        <v>42</v>
      </c>
      <c r="F14" s="9" t="s">
        <v>78</v>
      </c>
      <c r="G14" s="9" t="s">
        <v>79</v>
      </c>
      <c r="H14" s="10">
        <v>2120</v>
      </c>
      <c r="I14" s="10">
        <v>2952.6</v>
      </c>
      <c r="J14" s="11">
        <v>718</v>
      </c>
      <c r="K14" s="9" t="s">
        <v>63</v>
      </c>
    </row>
    <row r="15" spans="1:11" ht="13.5" customHeight="1" x14ac:dyDescent="0.25">
      <c r="A15" s="12" t="s">
        <v>80</v>
      </c>
      <c r="B15" s="12">
        <v>2020</v>
      </c>
      <c r="C15" s="14" t="s">
        <v>59</v>
      </c>
      <c r="D15" s="14" t="s">
        <v>60</v>
      </c>
      <c r="E15" s="12" t="s">
        <v>42</v>
      </c>
      <c r="F15" s="14" t="s">
        <v>78</v>
      </c>
      <c r="G15" s="14" t="s">
        <v>79</v>
      </c>
      <c r="H15" s="15">
        <v>1940</v>
      </c>
      <c r="I15" s="15">
        <v>2653.9</v>
      </c>
      <c r="J15" s="16">
        <v>731</v>
      </c>
      <c r="K15" s="14" t="s">
        <v>63</v>
      </c>
    </row>
    <row r="16" spans="1:11" ht="13.5" customHeight="1" x14ac:dyDescent="0.25">
      <c r="A16" s="7" t="s">
        <v>81</v>
      </c>
      <c r="B16" s="7">
        <v>2021</v>
      </c>
      <c r="C16" s="9" t="s">
        <v>59</v>
      </c>
      <c r="D16" s="9" t="s">
        <v>60</v>
      </c>
      <c r="E16" s="7" t="s">
        <v>42</v>
      </c>
      <c r="F16" s="9" t="s">
        <v>78</v>
      </c>
      <c r="G16" s="9" t="s">
        <v>79</v>
      </c>
      <c r="H16" s="10">
        <v>2240</v>
      </c>
      <c r="I16" s="10">
        <v>2040.1</v>
      </c>
      <c r="J16" s="11">
        <v>1098</v>
      </c>
      <c r="K16" s="9" t="s">
        <v>63</v>
      </c>
    </row>
    <row r="17" spans="1:11" ht="13.5" customHeight="1" x14ac:dyDescent="0.25">
      <c r="A17" s="12" t="s">
        <v>82</v>
      </c>
      <c r="B17" s="12">
        <v>2022</v>
      </c>
      <c r="C17" s="14" t="s">
        <v>59</v>
      </c>
      <c r="D17" s="14" t="s">
        <v>60</v>
      </c>
      <c r="E17" s="12" t="s">
        <v>42</v>
      </c>
      <c r="F17" s="14" t="s">
        <v>78</v>
      </c>
      <c r="G17" s="14" t="s">
        <v>79</v>
      </c>
      <c r="H17" s="15">
        <v>2950</v>
      </c>
      <c r="I17" s="15">
        <v>2077.5</v>
      </c>
      <c r="J17" s="16">
        <v>1420</v>
      </c>
      <c r="K17" s="14" t="s">
        <v>63</v>
      </c>
    </row>
    <row r="18" spans="1:11" ht="13.5" customHeight="1" x14ac:dyDescent="0.25">
      <c r="A18" s="7" t="s">
        <v>83</v>
      </c>
      <c r="B18" s="7">
        <v>2023</v>
      </c>
      <c r="C18" s="9" t="s">
        <v>59</v>
      </c>
      <c r="D18" s="9" t="s">
        <v>60</v>
      </c>
      <c r="E18" s="7" t="s">
        <v>42</v>
      </c>
      <c r="F18" s="9" t="s">
        <v>78</v>
      </c>
      <c r="G18" s="9" t="s">
        <v>79</v>
      </c>
      <c r="H18" s="10">
        <v>2450</v>
      </c>
      <c r="I18" s="10">
        <v>2663</v>
      </c>
      <c r="J18" s="11">
        <v>920</v>
      </c>
      <c r="K18" s="9" t="s">
        <v>63</v>
      </c>
    </row>
    <row r="19" spans="1:11" ht="13.5" customHeight="1" x14ac:dyDescent="0.25">
      <c r="A19" s="12" t="s">
        <v>84</v>
      </c>
      <c r="B19" s="12">
        <v>2024</v>
      </c>
      <c r="C19" s="14" t="s">
        <v>59</v>
      </c>
      <c r="D19" s="14" t="s">
        <v>60</v>
      </c>
      <c r="E19" s="12" t="s">
        <v>42</v>
      </c>
      <c r="F19" s="14" t="s">
        <v>78</v>
      </c>
      <c r="G19" s="14" t="s">
        <v>79</v>
      </c>
      <c r="H19" s="15">
        <v>2620</v>
      </c>
      <c r="I19" s="15">
        <v>3011.5</v>
      </c>
      <c r="J19" s="16">
        <v>870</v>
      </c>
      <c r="K19" s="14" t="s">
        <v>63</v>
      </c>
    </row>
    <row r="20" spans="1:11" ht="13.5" customHeight="1" x14ac:dyDescent="0.25">
      <c r="A20" s="7" t="s">
        <v>85</v>
      </c>
      <c r="B20" s="7">
        <v>2019</v>
      </c>
      <c r="C20" s="9" t="s">
        <v>59</v>
      </c>
      <c r="D20" s="9" t="s">
        <v>60</v>
      </c>
      <c r="E20" s="7" t="s">
        <v>42</v>
      </c>
      <c r="F20" s="9" t="s">
        <v>86</v>
      </c>
      <c r="G20" s="9" t="s">
        <v>62</v>
      </c>
      <c r="H20" s="10">
        <v>1840</v>
      </c>
      <c r="I20" s="10">
        <v>2562.6999999999998</v>
      </c>
      <c r="J20" s="11">
        <v>718</v>
      </c>
      <c r="K20" s="9" t="s">
        <v>63</v>
      </c>
    </row>
    <row r="21" spans="1:11" ht="13.5" customHeight="1" x14ac:dyDescent="0.25">
      <c r="A21" s="12" t="s">
        <v>87</v>
      </c>
      <c r="B21" s="12">
        <v>2020</v>
      </c>
      <c r="C21" s="14" t="s">
        <v>59</v>
      </c>
      <c r="D21" s="14" t="s">
        <v>60</v>
      </c>
      <c r="E21" s="12" t="s">
        <v>42</v>
      </c>
      <c r="F21" s="14" t="s">
        <v>86</v>
      </c>
      <c r="G21" s="14" t="s">
        <v>62</v>
      </c>
      <c r="H21" s="15">
        <v>1640</v>
      </c>
      <c r="I21" s="15">
        <v>2243.5</v>
      </c>
      <c r="J21" s="16">
        <v>731</v>
      </c>
      <c r="K21" s="14" t="s">
        <v>63</v>
      </c>
    </row>
    <row r="22" spans="1:11" ht="13.5" customHeight="1" x14ac:dyDescent="0.25">
      <c r="A22" s="7" t="s">
        <v>88</v>
      </c>
      <c r="B22" s="7">
        <v>2021</v>
      </c>
      <c r="C22" s="9" t="s">
        <v>59</v>
      </c>
      <c r="D22" s="9" t="s">
        <v>60</v>
      </c>
      <c r="E22" s="7" t="s">
        <v>42</v>
      </c>
      <c r="F22" s="9" t="s">
        <v>86</v>
      </c>
      <c r="G22" s="9" t="s">
        <v>62</v>
      </c>
      <c r="H22" s="10">
        <v>1960</v>
      </c>
      <c r="I22" s="10">
        <v>1785.1</v>
      </c>
      <c r="J22" s="11">
        <v>1098</v>
      </c>
      <c r="K22" s="9" t="s">
        <v>63</v>
      </c>
    </row>
    <row r="23" spans="1:11" ht="13.5" customHeight="1" x14ac:dyDescent="0.25">
      <c r="A23" s="12" t="s">
        <v>89</v>
      </c>
      <c r="B23" s="12">
        <v>2022</v>
      </c>
      <c r="C23" s="14" t="s">
        <v>59</v>
      </c>
      <c r="D23" s="14" t="s">
        <v>60</v>
      </c>
      <c r="E23" s="12" t="s">
        <v>42</v>
      </c>
      <c r="F23" s="14" t="s">
        <v>86</v>
      </c>
      <c r="G23" s="14" t="s">
        <v>62</v>
      </c>
      <c r="H23" s="15">
        <v>2450</v>
      </c>
      <c r="I23" s="15">
        <v>1725.4</v>
      </c>
      <c r="J23" s="16">
        <v>1420</v>
      </c>
      <c r="K23" s="14" t="s">
        <v>63</v>
      </c>
    </row>
    <row r="24" spans="1:11" ht="13.5" customHeight="1" x14ac:dyDescent="0.25">
      <c r="A24" s="7" t="s">
        <v>90</v>
      </c>
      <c r="B24" s="7">
        <v>2023</v>
      </c>
      <c r="C24" s="9" t="s">
        <v>59</v>
      </c>
      <c r="D24" s="9" t="s">
        <v>60</v>
      </c>
      <c r="E24" s="7" t="s">
        <v>42</v>
      </c>
      <c r="F24" s="9" t="s">
        <v>86</v>
      </c>
      <c r="G24" s="9" t="s">
        <v>62</v>
      </c>
      <c r="H24" s="10">
        <v>2130</v>
      </c>
      <c r="I24" s="10">
        <v>2315.1999999999998</v>
      </c>
      <c r="J24" s="11">
        <v>920</v>
      </c>
      <c r="K24" s="9" t="s">
        <v>63</v>
      </c>
    </row>
    <row r="25" spans="1:11" ht="13.5" customHeight="1" x14ac:dyDescent="0.25">
      <c r="A25" s="12" t="s">
        <v>91</v>
      </c>
      <c r="B25" s="12">
        <v>2024</v>
      </c>
      <c r="C25" s="14" t="s">
        <v>59</v>
      </c>
      <c r="D25" s="14" t="s">
        <v>60</v>
      </c>
      <c r="E25" s="12" t="s">
        <v>42</v>
      </c>
      <c r="F25" s="14" t="s">
        <v>86</v>
      </c>
      <c r="G25" s="14" t="s">
        <v>62</v>
      </c>
      <c r="H25" s="15">
        <v>2240</v>
      </c>
      <c r="I25" s="15">
        <v>2574.6999999999998</v>
      </c>
      <c r="J25" s="16">
        <v>870</v>
      </c>
      <c r="K25" s="14" t="s">
        <v>63</v>
      </c>
    </row>
    <row r="26" spans="1:11" ht="13.5" customHeight="1" x14ac:dyDescent="0.25">
      <c r="A26" s="7" t="s">
        <v>92</v>
      </c>
      <c r="B26" s="7">
        <v>2019</v>
      </c>
      <c r="C26" s="9" t="s">
        <v>59</v>
      </c>
      <c r="D26" s="9" t="s">
        <v>60</v>
      </c>
      <c r="E26" s="7" t="s">
        <v>42</v>
      </c>
      <c r="F26" s="9" t="s">
        <v>93</v>
      </c>
      <c r="G26" s="9" t="s">
        <v>94</v>
      </c>
      <c r="H26" s="10">
        <v>920</v>
      </c>
      <c r="I26" s="10">
        <v>1281.3</v>
      </c>
      <c r="J26" s="11">
        <v>718</v>
      </c>
      <c r="K26" s="9" t="s">
        <v>63</v>
      </c>
    </row>
    <row r="27" spans="1:11" ht="13.5" customHeight="1" x14ac:dyDescent="0.25">
      <c r="A27" s="12" t="s">
        <v>95</v>
      </c>
      <c r="B27" s="12">
        <v>2020</v>
      </c>
      <c r="C27" s="14" t="s">
        <v>59</v>
      </c>
      <c r="D27" s="14" t="s">
        <v>60</v>
      </c>
      <c r="E27" s="12" t="s">
        <v>42</v>
      </c>
      <c r="F27" s="14" t="s">
        <v>93</v>
      </c>
      <c r="G27" s="14" t="s">
        <v>94</v>
      </c>
      <c r="H27" s="15">
        <v>810</v>
      </c>
      <c r="I27" s="15">
        <v>1108.0999999999999</v>
      </c>
      <c r="J27" s="16">
        <v>731</v>
      </c>
      <c r="K27" s="14" t="s">
        <v>63</v>
      </c>
    </row>
    <row r="28" spans="1:11" ht="13.5" customHeight="1" x14ac:dyDescent="0.25">
      <c r="A28" s="7" t="s">
        <v>96</v>
      </c>
      <c r="B28" s="7">
        <v>2021</v>
      </c>
      <c r="C28" s="9" t="s">
        <v>59</v>
      </c>
      <c r="D28" s="9" t="s">
        <v>60</v>
      </c>
      <c r="E28" s="7" t="s">
        <v>42</v>
      </c>
      <c r="F28" s="9" t="s">
        <v>93</v>
      </c>
      <c r="G28" s="9" t="s">
        <v>94</v>
      </c>
      <c r="H28" s="10">
        <v>960</v>
      </c>
      <c r="I28" s="10">
        <v>874.3</v>
      </c>
      <c r="J28" s="11">
        <v>1098</v>
      </c>
      <c r="K28" s="9" t="s">
        <v>63</v>
      </c>
    </row>
    <row r="29" spans="1:11" ht="13.5" customHeight="1" x14ac:dyDescent="0.25">
      <c r="A29" s="12" t="s">
        <v>97</v>
      </c>
      <c r="B29" s="12">
        <v>2022</v>
      </c>
      <c r="C29" s="14" t="s">
        <v>59</v>
      </c>
      <c r="D29" s="14" t="s">
        <v>60</v>
      </c>
      <c r="E29" s="12" t="s">
        <v>42</v>
      </c>
      <c r="F29" s="14" t="s">
        <v>93</v>
      </c>
      <c r="G29" s="14" t="s">
        <v>94</v>
      </c>
      <c r="H29" s="15">
        <v>1220</v>
      </c>
      <c r="I29" s="15">
        <v>859.2</v>
      </c>
      <c r="J29" s="16">
        <v>1420</v>
      </c>
      <c r="K29" s="14" t="s">
        <v>63</v>
      </c>
    </row>
    <row r="30" spans="1:11" ht="13.5" customHeight="1" x14ac:dyDescent="0.25">
      <c r="A30" s="7" t="s">
        <v>98</v>
      </c>
      <c r="B30" s="7">
        <v>2023</v>
      </c>
      <c r="C30" s="9" t="s">
        <v>59</v>
      </c>
      <c r="D30" s="9" t="s">
        <v>60</v>
      </c>
      <c r="E30" s="7" t="s">
        <v>42</v>
      </c>
      <c r="F30" s="9" t="s">
        <v>93</v>
      </c>
      <c r="G30" s="9" t="s">
        <v>94</v>
      </c>
      <c r="H30" s="10">
        <v>1060</v>
      </c>
      <c r="I30" s="10">
        <v>1152.2</v>
      </c>
      <c r="J30" s="11">
        <v>920</v>
      </c>
      <c r="K30" s="9" t="s">
        <v>63</v>
      </c>
    </row>
    <row r="31" spans="1:11" ht="13.5" customHeight="1" x14ac:dyDescent="0.25">
      <c r="A31" s="12" t="s">
        <v>99</v>
      </c>
      <c r="B31" s="12">
        <v>2024</v>
      </c>
      <c r="C31" s="14" t="s">
        <v>59</v>
      </c>
      <c r="D31" s="14" t="s">
        <v>60</v>
      </c>
      <c r="E31" s="12" t="s">
        <v>42</v>
      </c>
      <c r="F31" s="14" t="s">
        <v>93</v>
      </c>
      <c r="G31" s="14" t="s">
        <v>94</v>
      </c>
      <c r="H31" s="15">
        <v>1120</v>
      </c>
      <c r="I31" s="15">
        <v>1287.4000000000001</v>
      </c>
      <c r="J31" s="16">
        <v>870</v>
      </c>
      <c r="K31" s="14" t="s">
        <v>63</v>
      </c>
    </row>
    <row r="32" spans="1:11" ht="13.5" customHeight="1" x14ac:dyDescent="0.25">
      <c r="A32" s="7" t="s">
        <v>100</v>
      </c>
      <c r="B32" s="7">
        <v>2019</v>
      </c>
      <c r="C32" s="9" t="s">
        <v>59</v>
      </c>
      <c r="D32" s="9" t="s">
        <v>101</v>
      </c>
      <c r="E32" s="7" t="s">
        <v>102</v>
      </c>
      <c r="F32" s="9" t="s">
        <v>70</v>
      </c>
      <c r="G32" s="9" t="s">
        <v>71</v>
      </c>
      <c r="H32" s="10">
        <v>6540</v>
      </c>
      <c r="I32" s="10">
        <v>87200</v>
      </c>
      <c r="J32" s="11">
        <v>75</v>
      </c>
      <c r="K32" s="9" t="s">
        <v>63</v>
      </c>
    </row>
    <row r="33" spans="1:11" ht="13.5" customHeight="1" x14ac:dyDescent="0.25">
      <c r="A33" s="12" t="s">
        <v>103</v>
      </c>
      <c r="B33" s="12">
        <v>2020</v>
      </c>
      <c r="C33" s="14" t="s">
        <v>59</v>
      </c>
      <c r="D33" s="14" t="s">
        <v>101</v>
      </c>
      <c r="E33" s="12" t="s">
        <v>102</v>
      </c>
      <c r="F33" s="14" t="s">
        <v>70</v>
      </c>
      <c r="G33" s="14" t="s">
        <v>71</v>
      </c>
      <c r="H33" s="15">
        <v>4240</v>
      </c>
      <c r="I33" s="15">
        <v>65230.8</v>
      </c>
      <c r="J33" s="16">
        <v>65</v>
      </c>
      <c r="K33" s="14" t="s">
        <v>63</v>
      </c>
    </row>
    <row r="34" spans="1:11" ht="13.5" customHeight="1" x14ac:dyDescent="0.25">
      <c r="A34" s="7" t="s">
        <v>104</v>
      </c>
      <c r="B34" s="7">
        <v>2021</v>
      </c>
      <c r="C34" s="9" t="s">
        <v>59</v>
      </c>
      <c r="D34" s="9" t="s">
        <v>101</v>
      </c>
      <c r="E34" s="7" t="s">
        <v>102</v>
      </c>
      <c r="F34" s="9" t="s">
        <v>70</v>
      </c>
      <c r="G34" s="9" t="s">
        <v>71</v>
      </c>
      <c r="H34" s="10">
        <v>8560</v>
      </c>
      <c r="I34" s="10">
        <v>59034.5</v>
      </c>
      <c r="J34" s="11">
        <v>145</v>
      </c>
      <c r="K34" s="9" t="s">
        <v>63</v>
      </c>
    </row>
    <row r="35" spans="1:11" ht="13.5" customHeight="1" x14ac:dyDescent="0.25">
      <c r="A35" s="12" t="s">
        <v>105</v>
      </c>
      <c r="B35" s="12">
        <v>2022</v>
      </c>
      <c r="C35" s="14" t="s">
        <v>59</v>
      </c>
      <c r="D35" s="14" t="s">
        <v>101</v>
      </c>
      <c r="E35" s="12" t="s">
        <v>102</v>
      </c>
      <c r="F35" s="14" t="s">
        <v>70</v>
      </c>
      <c r="G35" s="14" t="s">
        <v>71</v>
      </c>
      <c r="H35" s="15">
        <v>14200</v>
      </c>
      <c r="I35" s="15">
        <v>41764.699999999997</v>
      </c>
      <c r="J35" s="16">
        <v>340</v>
      </c>
      <c r="K35" s="14" t="s">
        <v>63</v>
      </c>
    </row>
    <row r="36" spans="1:11" ht="13.5" customHeight="1" x14ac:dyDescent="0.25">
      <c r="A36" s="7" t="s">
        <v>106</v>
      </c>
      <c r="B36" s="7">
        <v>2023</v>
      </c>
      <c r="C36" s="9" t="s">
        <v>59</v>
      </c>
      <c r="D36" s="9" t="s">
        <v>101</v>
      </c>
      <c r="E36" s="7" t="s">
        <v>102</v>
      </c>
      <c r="F36" s="9" t="s">
        <v>70</v>
      </c>
      <c r="G36" s="9" t="s">
        <v>71</v>
      </c>
      <c r="H36" s="10">
        <v>9850</v>
      </c>
      <c r="I36" s="10">
        <v>56285.7</v>
      </c>
      <c r="J36" s="11">
        <v>175</v>
      </c>
      <c r="K36" s="9" t="s">
        <v>63</v>
      </c>
    </row>
    <row r="37" spans="1:11" ht="13.5" customHeight="1" x14ac:dyDescent="0.25">
      <c r="A37" s="12" t="s">
        <v>107</v>
      </c>
      <c r="B37" s="12">
        <v>2024</v>
      </c>
      <c r="C37" s="14" t="s">
        <v>59</v>
      </c>
      <c r="D37" s="14" t="s">
        <v>101</v>
      </c>
      <c r="E37" s="12" t="s">
        <v>102</v>
      </c>
      <c r="F37" s="14" t="s">
        <v>70</v>
      </c>
      <c r="G37" s="14" t="s">
        <v>71</v>
      </c>
      <c r="H37" s="15">
        <v>8540</v>
      </c>
      <c r="I37" s="15">
        <v>65692.3</v>
      </c>
      <c r="J37" s="16">
        <v>130</v>
      </c>
      <c r="K37" s="14" t="s">
        <v>63</v>
      </c>
    </row>
    <row r="38" spans="1:11" ht="13.5" customHeight="1" x14ac:dyDescent="0.25">
      <c r="A38" s="7" t="s">
        <v>108</v>
      </c>
      <c r="B38" s="7">
        <v>2019</v>
      </c>
      <c r="C38" s="9" t="s">
        <v>59</v>
      </c>
      <c r="D38" s="9" t="s">
        <v>101</v>
      </c>
      <c r="E38" s="7" t="s">
        <v>102</v>
      </c>
      <c r="F38" s="9" t="s">
        <v>61</v>
      </c>
      <c r="G38" s="9" t="s">
        <v>62</v>
      </c>
      <c r="H38" s="10">
        <v>4250</v>
      </c>
      <c r="I38" s="10">
        <v>56666.7</v>
      </c>
      <c r="J38" s="11">
        <v>75</v>
      </c>
      <c r="K38" s="9" t="s">
        <v>63</v>
      </c>
    </row>
    <row r="39" spans="1:11" ht="13.5" customHeight="1" x14ac:dyDescent="0.25">
      <c r="A39" s="12" t="s">
        <v>109</v>
      </c>
      <c r="B39" s="12">
        <v>2020</v>
      </c>
      <c r="C39" s="14" t="s">
        <v>59</v>
      </c>
      <c r="D39" s="14" t="s">
        <v>101</v>
      </c>
      <c r="E39" s="12" t="s">
        <v>102</v>
      </c>
      <c r="F39" s="14" t="s">
        <v>61</v>
      </c>
      <c r="G39" s="14" t="s">
        <v>62</v>
      </c>
      <c r="H39" s="15">
        <v>2850</v>
      </c>
      <c r="I39" s="15">
        <v>43846.2</v>
      </c>
      <c r="J39" s="16">
        <v>65</v>
      </c>
      <c r="K39" s="14" t="s">
        <v>63</v>
      </c>
    </row>
    <row r="40" spans="1:11" ht="13.5" customHeight="1" x14ac:dyDescent="0.25">
      <c r="A40" s="7" t="s">
        <v>110</v>
      </c>
      <c r="B40" s="7">
        <v>2021</v>
      </c>
      <c r="C40" s="9" t="s">
        <v>59</v>
      </c>
      <c r="D40" s="9" t="s">
        <v>101</v>
      </c>
      <c r="E40" s="7" t="s">
        <v>102</v>
      </c>
      <c r="F40" s="9" t="s">
        <v>61</v>
      </c>
      <c r="G40" s="9" t="s">
        <v>62</v>
      </c>
      <c r="H40" s="10">
        <v>5540</v>
      </c>
      <c r="I40" s="10">
        <v>38206.9</v>
      </c>
      <c r="J40" s="11">
        <v>145</v>
      </c>
      <c r="K40" s="9" t="s">
        <v>63</v>
      </c>
    </row>
    <row r="41" spans="1:11" ht="13.5" customHeight="1" x14ac:dyDescent="0.25">
      <c r="A41" s="12" t="s">
        <v>111</v>
      </c>
      <c r="B41" s="12">
        <v>2022</v>
      </c>
      <c r="C41" s="14" t="s">
        <v>59</v>
      </c>
      <c r="D41" s="14" t="s">
        <v>101</v>
      </c>
      <c r="E41" s="12" t="s">
        <v>102</v>
      </c>
      <c r="F41" s="14" t="s">
        <v>61</v>
      </c>
      <c r="G41" s="14" t="s">
        <v>62</v>
      </c>
      <c r="H41" s="15">
        <v>9120</v>
      </c>
      <c r="I41" s="15">
        <v>26823.5</v>
      </c>
      <c r="J41" s="16">
        <v>340</v>
      </c>
      <c r="K41" s="14" t="s">
        <v>63</v>
      </c>
    </row>
    <row r="42" spans="1:11" ht="13.5" customHeight="1" x14ac:dyDescent="0.25">
      <c r="A42" s="7" t="s">
        <v>112</v>
      </c>
      <c r="B42" s="7">
        <v>2023</v>
      </c>
      <c r="C42" s="9" t="s">
        <v>59</v>
      </c>
      <c r="D42" s="9" t="s">
        <v>101</v>
      </c>
      <c r="E42" s="7" t="s">
        <v>102</v>
      </c>
      <c r="F42" s="9" t="s">
        <v>61</v>
      </c>
      <c r="G42" s="9" t="s">
        <v>62</v>
      </c>
      <c r="H42" s="10">
        <v>6340</v>
      </c>
      <c r="I42" s="10">
        <v>36228.6</v>
      </c>
      <c r="J42" s="11">
        <v>175</v>
      </c>
      <c r="K42" s="9" t="s">
        <v>63</v>
      </c>
    </row>
    <row r="43" spans="1:11" ht="13.5" customHeight="1" x14ac:dyDescent="0.25">
      <c r="A43" s="12" t="s">
        <v>113</v>
      </c>
      <c r="B43" s="12">
        <v>2024</v>
      </c>
      <c r="C43" s="14" t="s">
        <v>59</v>
      </c>
      <c r="D43" s="14" t="s">
        <v>101</v>
      </c>
      <c r="E43" s="12" t="s">
        <v>102</v>
      </c>
      <c r="F43" s="14" t="s">
        <v>61</v>
      </c>
      <c r="G43" s="14" t="s">
        <v>62</v>
      </c>
      <c r="H43" s="15">
        <v>5560</v>
      </c>
      <c r="I43" s="15">
        <v>42769.2</v>
      </c>
      <c r="J43" s="16">
        <v>130</v>
      </c>
      <c r="K43" s="14" t="s">
        <v>63</v>
      </c>
    </row>
    <row r="44" spans="1:11" ht="13.5" customHeight="1" x14ac:dyDescent="0.25">
      <c r="A44" s="7" t="s">
        <v>114</v>
      </c>
      <c r="B44" s="7">
        <v>2019</v>
      </c>
      <c r="C44" s="9" t="s">
        <v>59</v>
      </c>
      <c r="D44" s="9" t="s">
        <v>101</v>
      </c>
      <c r="E44" s="7" t="s">
        <v>102</v>
      </c>
      <c r="F44" s="9" t="s">
        <v>115</v>
      </c>
      <c r="G44" s="9" t="s">
        <v>71</v>
      </c>
      <c r="H44" s="10">
        <v>3820</v>
      </c>
      <c r="I44" s="10">
        <v>50933.3</v>
      </c>
      <c r="J44" s="11">
        <v>75</v>
      </c>
      <c r="K44" s="9" t="s">
        <v>63</v>
      </c>
    </row>
    <row r="45" spans="1:11" ht="13.5" customHeight="1" x14ac:dyDescent="0.25">
      <c r="A45" s="12" t="s">
        <v>116</v>
      </c>
      <c r="B45" s="12">
        <v>2020</v>
      </c>
      <c r="C45" s="14" t="s">
        <v>59</v>
      </c>
      <c r="D45" s="14" t="s">
        <v>101</v>
      </c>
      <c r="E45" s="12" t="s">
        <v>102</v>
      </c>
      <c r="F45" s="14" t="s">
        <v>115</v>
      </c>
      <c r="G45" s="14" t="s">
        <v>71</v>
      </c>
      <c r="H45" s="15">
        <v>2640</v>
      </c>
      <c r="I45" s="15">
        <v>40615.4</v>
      </c>
      <c r="J45" s="16">
        <v>65</v>
      </c>
      <c r="K45" s="14" t="s">
        <v>63</v>
      </c>
    </row>
    <row r="46" spans="1:11" ht="13.5" customHeight="1" x14ac:dyDescent="0.25">
      <c r="A46" s="7" t="s">
        <v>117</v>
      </c>
      <c r="B46" s="7">
        <v>2021</v>
      </c>
      <c r="C46" s="9" t="s">
        <v>59</v>
      </c>
      <c r="D46" s="9" t="s">
        <v>101</v>
      </c>
      <c r="E46" s="7" t="s">
        <v>102</v>
      </c>
      <c r="F46" s="9" t="s">
        <v>115</v>
      </c>
      <c r="G46" s="9" t="s">
        <v>71</v>
      </c>
      <c r="H46" s="10">
        <v>4850</v>
      </c>
      <c r="I46" s="10">
        <v>33448.300000000003</v>
      </c>
      <c r="J46" s="11">
        <v>145</v>
      </c>
      <c r="K46" s="9" t="s">
        <v>63</v>
      </c>
    </row>
    <row r="47" spans="1:11" ht="13.5" customHeight="1" x14ac:dyDescent="0.25">
      <c r="A47" s="12" t="s">
        <v>118</v>
      </c>
      <c r="B47" s="12">
        <v>2022</v>
      </c>
      <c r="C47" s="14" t="s">
        <v>59</v>
      </c>
      <c r="D47" s="14" t="s">
        <v>101</v>
      </c>
      <c r="E47" s="12" t="s">
        <v>102</v>
      </c>
      <c r="F47" s="14" t="s">
        <v>115</v>
      </c>
      <c r="G47" s="14" t="s">
        <v>71</v>
      </c>
      <c r="H47" s="15">
        <v>7920</v>
      </c>
      <c r="I47" s="15">
        <v>23294.1</v>
      </c>
      <c r="J47" s="16">
        <v>340</v>
      </c>
      <c r="K47" s="14" t="s">
        <v>63</v>
      </c>
    </row>
    <row r="48" spans="1:11" ht="13.5" customHeight="1" x14ac:dyDescent="0.25">
      <c r="A48" s="7" t="s">
        <v>119</v>
      </c>
      <c r="B48" s="7">
        <v>2023</v>
      </c>
      <c r="C48" s="9" t="s">
        <v>59</v>
      </c>
      <c r="D48" s="9" t="s">
        <v>101</v>
      </c>
      <c r="E48" s="7" t="s">
        <v>102</v>
      </c>
      <c r="F48" s="9" t="s">
        <v>115</v>
      </c>
      <c r="G48" s="9" t="s">
        <v>71</v>
      </c>
      <c r="H48" s="10">
        <v>5650</v>
      </c>
      <c r="I48" s="10">
        <v>32285.7</v>
      </c>
      <c r="J48" s="11">
        <v>175</v>
      </c>
      <c r="K48" s="9" t="s">
        <v>63</v>
      </c>
    </row>
    <row r="49" spans="1:11" ht="13.5" customHeight="1" x14ac:dyDescent="0.25">
      <c r="A49" s="12" t="s">
        <v>120</v>
      </c>
      <c r="B49" s="12">
        <v>2024</v>
      </c>
      <c r="C49" s="14" t="s">
        <v>59</v>
      </c>
      <c r="D49" s="14" t="s">
        <v>101</v>
      </c>
      <c r="E49" s="12" t="s">
        <v>102</v>
      </c>
      <c r="F49" s="14" t="s">
        <v>115</v>
      </c>
      <c r="G49" s="14" t="s">
        <v>71</v>
      </c>
      <c r="H49" s="15">
        <v>4950</v>
      </c>
      <c r="I49" s="15">
        <v>38076.9</v>
      </c>
      <c r="J49" s="16">
        <v>130</v>
      </c>
      <c r="K49" s="14" t="s">
        <v>63</v>
      </c>
    </row>
    <row r="50" spans="1:11" ht="13.5" customHeight="1" x14ac:dyDescent="0.25">
      <c r="A50" s="7" t="s">
        <v>121</v>
      </c>
      <c r="B50" s="7">
        <v>2019</v>
      </c>
      <c r="C50" s="9" t="s">
        <v>59</v>
      </c>
      <c r="D50" s="9" t="s">
        <v>101</v>
      </c>
      <c r="E50" s="7" t="s">
        <v>102</v>
      </c>
      <c r="F50" s="9" t="s">
        <v>122</v>
      </c>
      <c r="G50" s="9" t="s">
        <v>71</v>
      </c>
      <c r="H50" s="10">
        <v>2940</v>
      </c>
      <c r="I50" s="10">
        <v>39200</v>
      </c>
      <c r="J50" s="11">
        <v>75</v>
      </c>
      <c r="K50" s="9" t="s">
        <v>63</v>
      </c>
    </row>
    <row r="51" spans="1:11" ht="13.5" customHeight="1" x14ac:dyDescent="0.25">
      <c r="A51" s="12" t="s">
        <v>123</v>
      </c>
      <c r="B51" s="12">
        <v>2020</v>
      </c>
      <c r="C51" s="14" t="s">
        <v>59</v>
      </c>
      <c r="D51" s="14" t="s">
        <v>101</v>
      </c>
      <c r="E51" s="12" t="s">
        <v>102</v>
      </c>
      <c r="F51" s="14" t="s">
        <v>122</v>
      </c>
      <c r="G51" s="14" t="s">
        <v>71</v>
      </c>
      <c r="H51" s="15">
        <v>2020</v>
      </c>
      <c r="I51" s="15">
        <v>31076.9</v>
      </c>
      <c r="J51" s="16">
        <v>65</v>
      </c>
      <c r="K51" s="14" t="s">
        <v>63</v>
      </c>
    </row>
    <row r="52" spans="1:11" ht="13.5" customHeight="1" x14ac:dyDescent="0.25">
      <c r="A52" s="7" t="s">
        <v>124</v>
      </c>
      <c r="B52" s="7">
        <v>2021</v>
      </c>
      <c r="C52" s="9" t="s">
        <v>59</v>
      </c>
      <c r="D52" s="9" t="s">
        <v>101</v>
      </c>
      <c r="E52" s="7" t="s">
        <v>102</v>
      </c>
      <c r="F52" s="9" t="s">
        <v>122</v>
      </c>
      <c r="G52" s="9" t="s">
        <v>71</v>
      </c>
      <c r="H52" s="10">
        <v>3840</v>
      </c>
      <c r="I52" s="10">
        <v>26482.799999999999</v>
      </c>
      <c r="J52" s="11">
        <v>145</v>
      </c>
      <c r="K52" s="9" t="s">
        <v>63</v>
      </c>
    </row>
    <row r="53" spans="1:11" ht="13.5" customHeight="1" x14ac:dyDescent="0.25">
      <c r="A53" s="12" t="s">
        <v>125</v>
      </c>
      <c r="B53" s="12">
        <v>2022</v>
      </c>
      <c r="C53" s="14" t="s">
        <v>59</v>
      </c>
      <c r="D53" s="14" t="s">
        <v>101</v>
      </c>
      <c r="E53" s="12" t="s">
        <v>102</v>
      </c>
      <c r="F53" s="14" t="s">
        <v>122</v>
      </c>
      <c r="G53" s="14" t="s">
        <v>71</v>
      </c>
      <c r="H53" s="15">
        <v>6280</v>
      </c>
      <c r="I53" s="15">
        <v>18470.599999999999</v>
      </c>
      <c r="J53" s="16">
        <v>340</v>
      </c>
      <c r="K53" s="14" t="s">
        <v>63</v>
      </c>
    </row>
    <row r="54" spans="1:11" ht="13.5" customHeight="1" x14ac:dyDescent="0.25">
      <c r="A54" s="7" t="s">
        <v>126</v>
      </c>
      <c r="B54" s="7">
        <v>2023</v>
      </c>
      <c r="C54" s="9" t="s">
        <v>59</v>
      </c>
      <c r="D54" s="9" t="s">
        <v>101</v>
      </c>
      <c r="E54" s="7" t="s">
        <v>102</v>
      </c>
      <c r="F54" s="9" t="s">
        <v>122</v>
      </c>
      <c r="G54" s="9" t="s">
        <v>71</v>
      </c>
      <c r="H54" s="10">
        <v>4450</v>
      </c>
      <c r="I54" s="10">
        <v>25428.6</v>
      </c>
      <c r="J54" s="11">
        <v>175</v>
      </c>
      <c r="K54" s="9" t="s">
        <v>63</v>
      </c>
    </row>
    <row r="55" spans="1:11" ht="13.5" customHeight="1" x14ac:dyDescent="0.25">
      <c r="A55" s="12" t="s">
        <v>127</v>
      </c>
      <c r="B55" s="12">
        <v>2024</v>
      </c>
      <c r="C55" s="14" t="s">
        <v>59</v>
      </c>
      <c r="D55" s="14" t="s">
        <v>101</v>
      </c>
      <c r="E55" s="12" t="s">
        <v>102</v>
      </c>
      <c r="F55" s="14" t="s">
        <v>122</v>
      </c>
      <c r="G55" s="14" t="s">
        <v>71</v>
      </c>
      <c r="H55" s="15">
        <v>3860</v>
      </c>
      <c r="I55" s="15">
        <v>29692.3</v>
      </c>
      <c r="J55" s="16">
        <v>130</v>
      </c>
      <c r="K55" s="14" t="s">
        <v>63</v>
      </c>
    </row>
    <row r="56" spans="1:11" ht="13.5" customHeight="1" x14ac:dyDescent="0.25">
      <c r="A56" s="7" t="s">
        <v>128</v>
      </c>
      <c r="B56" s="7">
        <v>2019</v>
      </c>
      <c r="C56" s="9" t="s">
        <v>59</v>
      </c>
      <c r="D56" s="9" t="s">
        <v>101</v>
      </c>
      <c r="E56" s="7" t="s">
        <v>102</v>
      </c>
      <c r="F56" s="9" t="s">
        <v>129</v>
      </c>
      <c r="G56" s="9" t="s">
        <v>94</v>
      </c>
      <c r="H56" s="10">
        <v>1220</v>
      </c>
      <c r="I56" s="10">
        <v>16266.7</v>
      </c>
      <c r="J56" s="11">
        <v>75</v>
      </c>
      <c r="K56" s="9" t="s">
        <v>63</v>
      </c>
    </row>
    <row r="57" spans="1:11" ht="13.5" customHeight="1" x14ac:dyDescent="0.25">
      <c r="A57" s="12" t="s">
        <v>130</v>
      </c>
      <c r="B57" s="12">
        <v>2020</v>
      </c>
      <c r="C57" s="14" t="s">
        <v>59</v>
      </c>
      <c r="D57" s="14" t="s">
        <v>101</v>
      </c>
      <c r="E57" s="12" t="s">
        <v>102</v>
      </c>
      <c r="F57" s="14" t="s">
        <v>129</v>
      </c>
      <c r="G57" s="14" t="s">
        <v>94</v>
      </c>
      <c r="H57" s="15">
        <v>820</v>
      </c>
      <c r="I57" s="15">
        <v>12615.4</v>
      </c>
      <c r="J57" s="16">
        <v>65</v>
      </c>
      <c r="K57" s="14" t="s">
        <v>63</v>
      </c>
    </row>
    <row r="58" spans="1:11" ht="13.5" customHeight="1" x14ac:dyDescent="0.25">
      <c r="A58" s="7" t="s">
        <v>131</v>
      </c>
      <c r="B58" s="7">
        <v>2021</v>
      </c>
      <c r="C58" s="9" t="s">
        <v>59</v>
      </c>
      <c r="D58" s="9" t="s">
        <v>101</v>
      </c>
      <c r="E58" s="7" t="s">
        <v>102</v>
      </c>
      <c r="F58" s="9" t="s">
        <v>129</v>
      </c>
      <c r="G58" s="9" t="s">
        <v>94</v>
      </c>
      <c r="H58" s="10">
        <v>1640</v>
      </c>
      <c r="I58" s="10">
        <v>11310.3</v>
      </c>
      <c r="J58" s="11">
        <v>145</v>
      </c>
      <c r="K58" s="9" t="s">
        <v>63</v>
      </c>
    </row>
    <row r="59" spans="1:11" ht="13.5" customHeight="1" x14ac:dyDescent="0.25">
      <c r="A59" s="12" t="s">
        <v>132</v>
      </c>
      <c r="B59" s="12">
        <v>2022</v>
      </c>
      <c r="C59" s="14" t="s">
        <v>59</v>
      </c>
      <c r="D59" s="14" t="s">
        <v>101</v>
      </c>
      <c r="E59" s="12" t="s">
        <v>102</v>
      </c>
      <c r="F59" s="14" t="s">
        <v>129</v>
      </c>
      <c r="G59" s="14" t="s">
        <v>94</v>
      </c>
      <c r="H59" s="15">
        <v>2650</v>
      </c>
      <c r="I59" s="15">
        <v>7794.1</v>
      </c>
      <c r="J59" s="16">
        <v>340</v>
      </c>
      <c r="K59" s="14" t="s">
        <v>63</v>
      </c>
    </row>
    <row r="60" spans="1:11" ht="13.5" customHeight="1" x14ac:dyDescent="0.25">
      <c r="A60" s="7" t="s">
        <v>133</v>
      </c>
      <c r="B60" s="7">
        <v>2023</v>
      </c>
      <c r="C60" s="9" t="s">
        <v>59</v>
      </c>
      <c r="D60" s="9" t="s">
        <v>101</v>
      </c>
      <c r="E60" s="7" t="s">
        <v>102</v>
      </c>
      <c r="F60" s="9" t="s">
        <v>129</v>
      </c>
      <c r="G60" s="9" t="s">
        <v>94</v>
      </c>
      <c r="H60" s="10">
        <v>1830</v>
      </c>
      <c r="I60" s="10">
        <v>10457.1</v>
      </c>
      <c r="J60" s="11">
        <v>175</v>
      </c>
      <c r="K60" s="9" t="s">
        <v>63</v>
      </c>
    </row>
    <row r="61" spans="1:11" ht="13.5" customHeight="1" x14ac:dyDescent="0.25">
      <c r="A61" s="12" t="s">
        <v>134</v>
      </c>
      <c r="B61" s="12">
        <v>2024</v>
      </c>
      <c r="C61" s="14" t="s">
        <v>59</v>
      </c>
      <c r="D61" s="14" t="s">
        <v>101</v>
      </c>
      <c r="E61" s="12" t="s">
        <v>102</v>
      </c>
      <c r="F61" s="14" t="s">
        <v>129</v>
      </c>
      <c r="G61" s="14" t="s">
        <v>94</v>
      </c>
      <c r="H61" s="15">
        <v>1640</v>
      </c>
      <c r="I61" s="15">
        <v>12615.4</v>
      </c>
      <c r="J61" s="16">
        <v>130</v>
      </c>
      <c r="K61" s="14" t="s">
        <v>63</v>
      </c>
    </row>
    <row r="62" spans="1:11" ht="13.5" customHeight="1" x14ac:dyDescent="0.25">
      <c r="A62" s="7" t="s">
        <v>135</v>
      </c>
      <c r="B62" s="7">
        <v>2019</v>
      </c>
      <c r="C62" s="9" t="s">
        <v>59</v>
      </c>
      <c r="D62" s="9" t="s">
        <v>136</v>
      </c>
      <c r="E62" s="7" t="s">
        <v>137</v>
      </c>
      <c r="F62" s="9" t="s">
        <v>70</v>
      </c>
      <c r="G62" s="9" t="s">
        <v>71</v>
      </c>
      <c r="H62" s="10">
        <v>3840</v>
      </c>
      <c r="I62" s="10">
        <v>274.3</v>
      </c>
      <c r="J62" s="11">
        <v>14000</v>
      </c>
      <c r="K62" s="9" t="s">
        <v>63</v>
      </c>
    </row>
    <row r="63" spans="1:11" ht="13.5" customHeight="1" x14ac:dyDescent="0.25">
      <c r="A63" s="12" t="s">
        <v>138</v>
      </c>
      <c r="B63" s="12">
        <v>2020</v>
      </c>
      <c r="C63" s="14" t="s">
        <v>59</v>
      </c>
      <c r="D63" s="14" t="s">
        <v>136</v>
      </c>
      <c r="E63" s="12" t="s">
        <v>137</v>
      </c>
      <c r="F63" s="14" t="s">
        <v>70</v>
      </c>
      <c r="G63" s="14" t="s">
        <v>71</v>
      </c>
      <c r="H63" s="15">
        <v>4560</v>
      </c>
      <c r="I63" s="15">
        <v>325.7</v>
      </c>
      <c r="J63" s="16">
        <v>14000</v>
      </c>
      <c r="K63" s="14" t="s">
        <v>63</v>
      </c>
    </row>
    <row r="64" spans="1:11" ht="13.5" customHeight="1" x14ac:dyDescent="0.25">
      <c r="A64" s="7" t="s">
        <v>139</v>
      </c>
      <c r="B64" s="7">
        <v>2021</v>
      </c>
      <c r="C64" s="9" t="s">
        <v>59</v>
      </c>
      <c r="D64" s="9" t="s">
        <v>136</v>
      </c>
      <c r="E64" s="7" t="s">
        <v>137</v>
      </c>
      <c r="F64" s="9" t="s">
        <v>70</v>
      </c>
      <c r="G64" s="9" t="s">
        <v>71</v>
      </c>
      <c r="H64" s="10">
        <v>7280</v>
      </c>
      <c r="I64" s="10">
        <v>383.2</v>
      </c>
      <c r="J64" s="11">
        <v>19000</v>
      </c>
      <c r="K64" s="9" t="s">
        <v>63</v>
      </c>
    </row>
    <row r="65" spans="1:11" ht="13.5" customHeight="1" x14ac:dyDescent="0.25">
      <c r="A65" s="12" t="s">
        <v>140</v>
      </c>
      <c r="B65" s="12">
        <v>2022</v>
      </c>
      <c r="C65" s="14" t="s">
        <v>59</v>
      </c>
      <c r="D65" s="14" t="s">
        <v>136</v>
      </c>
      <c r="E65" s="12" t="s">
        <v>137</v>
      </c>
      <c r="F65" s="14" t="s">
        <v>70</v>
      </c>
      <c r="G65" s="14" t="s">
        <v>71</v>
      </c>
      <c r="H65" s="15">
        <v>12100</v>
      </c>
      <c r="I65" s="15">
        <v>465.4</v>
      </c>
      <c r="J65" s="16">
        <v>26000</v>
      </c>
      <c r="K65" s="14" t="s">
        <v>63</v>
      </c>
    </row>
    <row r="66" spans="1:11" ht="13.5" customHeight="1" x14ac:dyDescent="0.25">
      <c r="A66" s="7" t="s">
        <v>141</v>
      </c>
      <c r="B66" s="7">
        <v>2023</v>
      </c>
      <c r="C66" s="9" t="s">
        <v>59</v>
      </c>
      <c r="D66" s="9" t="s">
        <v>136</v>
      </c>
      <c r="E66" s="7" t="s">
        <v>137</v>
      </c>
      <c r="F66" s="9" t="s">
        <v>70</v>
      </c>
      <c r="G66" s="9" t="s">
        <v>71</v>
      </c>
      <c r="H66" s="10">
        <v>16600</v>
      </c>
      <c r="I66" s="10">
        <v>754.5</v>
      </c>
      <c r="J66" s="11">
        <v>22000</v>
      </c>
      <c r="K66" s="9" t="s">
        <v>63</v>
      </c>
    </row>
    <row r="67" spans="1:11" ht="13.5" customHeight="1" x14ac:dyDescent="0.25">
      <c r="A67" s="12" t="s">
        <v>142</v>
      </c>
      <c r="B67" s="12">
        <v>2024</v>
      </c>
      <c r="C67" s="14" t="s">
        <v>59</v>
      </c>
      <c r="D67" s="14" t="s">
        <v>136</v>
      </c>
      <c r="E67" s="12" t="s">
        <v>137</v>
      </c>
      <c r="F67" s="14" t="s">
        <v>70</v>
      </c>
      <c r="G67" s="14" t="s">
        <v>71</v>
      </c>
      <c r="H67" s="15">
        <v>18200</v>
      </c>
      <c r="I67" s="15">
        <v>1070.5999999999999</v>
      </c>
      <c r="J67" s="16">
        <v>17000</v>
      </c>
      <c r="K67" s="14" t="s">
        <v>63</v>
      </c>
    </row>
    <row r="68" spans="1:11" ht="13.5" customHeight="1" x14ac:dyDescent="0.25">
      <c r="A68" s="7" t="s">
        <v>143</v>
      </c>
      <c r="B68" s="7">
        <v>2019</v>
      </c>
      <c r="C68" s="9" t="s">
        <v>59</v>
      </c>
      <c r="D68" s="9" t="s">
        <v>136</v>
      </c>
      <c r="E68" s="7" t="s">
        <v>137</v>
      </c>
      <c r="F68" s="9" t="s">
        <v>115</v>
      </c>
      <c r="G68" s="9" t="s">
        <v>71</v>
      </c>
      <c r="H68" s="10">
        <v>620</v>
      </c>
      <c r="I68" s="10">
        <v>44.3</v>
      </c>
      <c r="J68" s="11">
        <v>14000</v>
      </c>
      <c r="K68" s="9" t="s">
        <v>63</v>
      </c>
    </row>
    <row r="69" spans="1:11" ht="13.5" customHeight="1" x14ac:dyDescent="0.25">
      <c r="A69" s="12" t="s">
        <v>144</v>
      </c>
      <c r="B69" s="12">
        <v>2020</v>
      </c>
      <c r="C69" s="14" t="s">
        <v>59</v>
      </c>
      <c r="D69" s="14" t="s">
        <v>136</v>
      </c>
      <c r="E69" s="12" t="s">
        <v>137</v>
      </c>
      <c r="F69" s="14" t="s">
        <v>115</v>
      </c>
      <c r="G69" s="14" t="s">
        <v>71</v>
      </c>
      <c r="H69" s="15">
        <v>720</v>
      </c>
      <c r="I69" s="15">
        <v>51.4</v>
      </c>
      <c r="J69" s="16">
        <v>14000</v>
      </c>
      <c r="K69" s="14" t="s">
        <v>63</v>
      </c>
    </row>
    <row r="70" spans="1:11" ht="13.5" customHeight="1" x14ac:dyDescent="0.25">
      <c r="A70" s="7" t="s">
        <v>145</v>
      </c>
      <c r="B70" s="7">
        <v>2021</v>
      </c>
      <c r="C70" s="9" t="s">
        <v>59</v>
      </c>
      <c r="D70" s="9" t="s">
        <v>136</v>
      </c>
      <c r="E70" s="7" t="s">
        <v>137</v>
      </c>
      <c r="F70" s="9" t="s">
        <v>115</v>
      </c>
      <c r="G70" s="9" t="s">
        <v>71</v>
      </c>
      <c r="H70" s="10">
        <v>1120</v>
      </c>
      <c r="I70" s="10">
        <v>58.9</v>
      </c>
      <c r="J70" s="11">
        <v>19000</v>
      </c>
      <c r="K70" s="9" t="s">
        <v>63</v>
      </c>
    </row>
    <row r="71" spans="1:11" ht="13.5" customHeight="1" x14ac:dyDescent="0.25">
      <c r="A71" s="12" t="s">
        <v>146</v>
      </c>
      <c r="B71" s="12">
        <v>2022</v>
      </c>
      <c r="C71" s="14" t="s">
        <v>59</v>
      </c>
      <c r="D71" s="14" t="s">
        <v>136</v>
      </c>
      <c r="E71" s="12" t="s">
        <v>137</v>
      </c>
      <c r="F71" s="14" t="s">
        <v>115</v>
      </c>
      <c r="G71" s="14" t="s">
        <v>71</v>
      </c>
      <c r="H71" s="15">
        <v>1850</v>
      </c>
      <c r="I71" s="15">
        <v>71.2</v>
      </c>
      <c r="J71" s="16">
        <v>26000</v>
      </c>
      <c r="K71" s="14" t="s">
        <v>63</v>
      </c>
    </row>
    <row r="72" spans="1:11" ht="13.5" customHeight="1" x14ac:dyDescent="0.25">
      <c r="A72" s="7" t="s">
        <v>147</v>
      </c>
      <c r="B72" s="7">
        <v>2023</v>
      </c>
      <c r="C72" s="9" t="s">
        <v>59</v>
      </c>
      <c r="D72" s="9" t="s">
        <v>136</v>
      </c>
      <c r="E72" s="7" t="s">
        <v>137</v>
      </c>
      <c r="F72" s="9" t="s">
        <v>115</v>
      </c>
      <c r="G72" s="9" t="s">
        <v>71</v>
      </c>
      <c r="H72" s="10">
        <v>2540</v>
      </c>
      <c r="I72" s="10">
        <v>115.5</v>
      </c>
      <c r="J72" s="11">
        <v>22000</v>
      </c>
      <c r="K72" s="9" t="s">
        <v>63</v>
      </c>
    </row>
    <row r="73" spans="1:11" ht="13.5" customHeight="1" x14ac:dyDescent="0.25">
      <c r="A73" s="12" t="s">
        <v>148</v>
      </c>
      <c r="B73" s="12">
        <v>2024</v>
      </c>
      <c r="C73" s="14" t="s">
        <v>59</v>
      </c>
      <c r="D73" s="14" t="s">
        <v>136</v>
      </c>
      <c r="E73" s="12" t="s">
        <v>137</v>
      </c>
      <c r="F73" s="14" t="s">
        <v>115</v>
      </c>
      <c r="G73" s="14" t="s">
        <v>71</v>
      </c>
      <c r="H73" s="15">
        <v>2750</v>
      </c>
      <c r="I73" s="15">
        <v>161.80000000000001</v>
      </c>
      <c r="J73" s="16">
        <v>17000</v>
      </c>
      <c r="K73" s="14" t="s">
        <v>63</v>
      </c>
    </row>
    <row r="74" spans="1:11" ht="13.5" customHeight="1" x14ac:dyDescent="0.25">
      <c r="A74" s="7" t="s">
        <v>149</v>
      </c>
      <c r="B74" s="7">
        <v>2019</v>
      </c>
      <c r="C74" s="9" t="s">
        <v>59</v>
      </c>
      <c r="D74" s="9" t="s">
        <v>136</v>
      </c>
      <c r="E74" s="7" t="s">
        <v>137</v>
      </c>
      <c r="F74" s="9" t="s">
        <v>122</v>
      </c>
      <c r="G74" s="9" t="s">
        <v>71</v>
      </c>
      <c r="H74" s="10">
        <v>420</v>
      </c>
      <c r="I74" s="10">
        <v>30</v>
      </c>
      <c r="J74" s="11">
        <v>14000</v>
      </c>
      <c r="K74" s="9" t="s">
        <v>63</v>
      </c>
    </row>
    <row r="75" spans="1:11" ht="13.5" customHeight="1" x14ac:dyDescent="0.25">
      <c r="A75" s="12" t="s">
        <v>150</v>
      </c>
      <c r="B75" s="12">
        <v>2020</v>
      </c>
      <c r="C75" s="14" t="s">
        <v>59</v>
      </c>
      <c r="D75" s="14" t="s">
        <v>136</v>
      </c>
      <c r="E75" s="12" t="s">
        <v>137</v>
      </c>
      <c r="F75" s="14" t="s">
        <v>122</v>
      </c>
      <c r="G75" s="14" t="s">
        <v>71</v>
      </c>
      <c r="H75" s="15">
        <v>510</v>
      </c>
      <c r="I75" s="15">
        <v>36.4</v>
      </c>
      <c r="J75" s="16">
        <v>14000</v>
      </c>
      <c r="K75" s="14" t="s">
        <v>63</v>
      </c>
    </row>
    <row r="76" spans="1:11" ht="13.5" customHeight="1" x14ac:dyDescent="0.25">
      <c r="A76" s="7" t="s">
        <v>151</v>
      </c>
      <c r="B76" s="7">
        <v>2021</v>
      </c>
      <c r="C76" s="9" t="s">
        <v>59</v>
      </c>
      <c r="D76" s="9" t="s">
        <v>136</v>
      </c>
      <c r="E76" s="7" t="s">
        <v>137</v>
      </c>
      <c r="F76" s="9" t="s">
        <v>122</v>
      </c>
      <c r="G76" s="9" t="s">
        <v>71</v>
      </c>
      <c r="H76" s="10">
        <v>820</v>
      </c>
      <c r="I76" s="10">
        <v>43.2</v>
      </c>
      <c r="J76" s="11">
        <v>19000</v>
      </c>
      <c r="K76" s="9" t="s">
        <v>63</v>
      </c>
    </row>
    <row r="77" spans="1:11" ht="13.5" customHeight="1" x14ac:dyDescent="0.25">
      <c r="A77" s="12" t="s">
        <v>152</v>
      </c>
      <c r="B77" s="12">
        <v>2022</v>
      </c>
      <c r="C77" s="14" t="s">
        <v>59</v>
      </c>
      <c r="D77" s="14" t="s">
        <v>136</v>
      </c>
      <c r="E77" s="12" t="s">
        <v>137</v>
      </c>
      <c r="F77" s="14" t="s">
        <v>122</v>
      </c>
      <c r="G77" s="14" t="s">
        <v>71</v>
      </c>
      <c r="H77" s="15">
        <v>1320</v>
      </c>
      <c r="I77" s="15">
        <v>50.8</v>
      </c>
      <c r="J77" s="16">
        <v>26000</v>
      </c>
      <c r="K77" s="14" t="s">
        <v>63</v>
      </c>
    </row>
    <row r="78" spans="1:11" ht="13.5" customHeight="1" x14ac:dyDescent="0.25">
      <c r="A78" s="7" t="s">
        <v>153</v>
      </c>
      <c r="B78" s="7">
        <v>2023</v>
      </c>
      <c r="C78" s="9" t="s">
        <v>59</v>
      </c>
      <c r="D78" s="9" t="s">
        <v>136</v>
      </c>
      <c r="E78" s="7" t="s">
        <v>137</v>
      </c>
      <c r="F78" s="9" t="s">
        <v>122</v>
      </c>
      <c r="G78" s="9" t="s">
        <v>71</v>
      </c>
      <c r="H78" s="10">
        <v>1840</v>
      </c>
      <c r="I78" s="10">
        <v>83.6</v>
      </c>
      <c r="J78" s="11">
        <v>22000</v>
      </c>
      <c r="K78" s="9" t="s">
        <v>63</v>
      </c>
    </row>
    <row r="79" spans="1:11" ht="13.5" customHeight="1" x14ac:dyDescent="0.25">
      <c r="A79" s="12" t="s">
        <v>154</v>
      </c>
      <c r="B79" s="12">
        <v>2024</v>
      </c>
      <c r="C79" s="14" t="s">
        <v>59</v>
      </c>
      <c r="D79" s="14" t="s">
        <v>136</v>
      </c>
      <c r="E79" s="12" t="s">
        <v>137</v>
      </c>
      <c r="F79" s="14" t="s">
        <v>122</v>
      </c>
      <c r="G79" s="14" t="s">
        <v>71</v>
      </c>
      <c r="H79" s="15">
        <v>2040</v>
      </c>
      <c r="I79" s="15">
        <v>120</v>
      </c>
      <c r="J79" s="16">
        <v>17000</v>
      </c>
      <c r="K79" s="14" t="s">
        <v>63</v>
      </c>
    </row>
    <row r="80" spans="1:11" ht="13.5" customHeight="1" x14ac:dyDescent="0.25">
      <c r="A80" s="7" t="s">
        <v>155</v>
      </c>
      <c r="B80" s="7">
        <v>2019</v>
      </c>
      <c r="C80" s="9" t="s">
        <v>59</v>
      </c>
      <c r="D80" s="9" t="s">
        <v>156</v>
      </c>
      <c r="E80" s="7" t="s">
        <v>157</v>
      </c>
      <c r="F80" s="9" t="s">
        <v>70</v>
      </c>
      <c r="G80" s="9" t="s">
        <v>71</v>
      </c>
      <c r="H80" s="10">
        <v>1840</v>
      </c>
      <c r="I80" s="10">
        <v>1164.5999999999999</v>
      </c>
      <c r="J80" s="11">
        <v>1580</v>
      </c>
      <c r="K80" s="9" t="s">
        <v>63</v>
      </c>
    </row>
    <row r="81" spans="1:11" ht="13.5" customHeight="1" x14ac:dyDescent="0.25">
      <c r="A81" s="12" t="s">
        <v>158</v>
      </c>
      <c r="B81" s="12">
        <v>2020</v>
      </c>
      <c r="C81" s="14" t="s">
        <v>59</v>
      </c>
      <c r="D81" s="14" t="s">
        <v>156</v>
      </c>
      <c r="E81" s="12" t="s">
        <v>157</v>
      </c>
      <c r="F81" s="14" t="s">
        <v>70</v>
      </c>
      <c r="G81" s="14" t="s">
        <v>71</v>
      </c>
      <c r="H81" s="15">
        <v>1420</v>
      </c>
      <c r="I81" s="15">
        <v>1075.8</v>
      </c>
      <c r="J81" s="16">
        <v>1320</v>
      </c>
      <c r="K81" s="14" t="s">
        <v>63</v>
      </c>
    </row>
    <row r="82" spans="1:11" ht="13.5" customHeight="1" x14ac:dyDescent="0.25">
      <c r="A82" s="7" t="s">
        <v>159</v>
      </c>
      <c r="B82" s="7">
        <v>2021</v>
      </c>
      <c r="C82" s="9" t="s">
        <v>59</v>
      </c>
      <c r="D82" s="9" t="s">
        <v>156</v>
      </c>
      <c r="E82" s="7" t="s">
        <v>157</v>
      </c>
      <c r="F82" s="9" t="s">
        <v>70</v>
      </c>
      <c r="G82" s="9" t="s">
        <v>71</v>
      </c>
      <c r="H82" s="10">
        <v>1720</v>
      </c>
      <c r="I82" s="10">
        <v>1005.8</v>
      </c>
      <c r="J82" s="11">
        <v>1710</v>
      </c>
      <c r="K82" s="9" t="s">
        <v>63</v>
      </c>
    </row>
    <row r="83" spans="1:11" ht="13.5" customHeight="1" x14ac:dyDescent="0.25">
      <c r="A83" s="12" t="s">
        <v>160</v>
      </c>
      <c r="B83" s="12">
        <v>2022</v>
      </c>
      <c r="C83" s="14" t="s">
        <v>59</v>
      </c>
      <c r="D83" s="14" t="s">
        <v>156</v>
      </c>
      <c r="E83" s="12" t="s">
        <v>157</v>
      </c>
      <c r="F83" s="14" t="s">
        <v>70</v>
      </c>
      <c r="G83" s="14" t="s">
        <v>71</v>
      </c>
      <c r="H83" s="15">
        <v>2120</v>
      </c>
      <c r="I83" s="15">
        <v>1145.9000000000001</v>
      </c>
      <c r="J83" s="16">
        <v>1850</v>
      </c>
      <c r="K83" s="14" t="s">
        <v>63</v>
      </c>
    </row>
    <row r="84" spans="1:11" ht="13.5" customHeight="1" x14ac:dyDescent="0.25">
      <c r="A84" s="7" t="s">
        <v>161</v>
      </c>
      <c r="B84" s="7">
        <v>2023</v>
      </c>
      <c r="C84" s="9" t="s">
        <v>59</v>
      </c>
      <c r="D84" s="9" t="s">
        <v>156</v>
      </c>
      <c r="E84" s="7" t="s">
        <v>157</v>
      </c>
      <c r="F84" s="9" t="s">
        <v>70</v>
      </c>
      <c r="G84" s="9" t="s">
        <v>71</v>
      </c>
      <c r="H84" s="10">
        <v>1720</v>
      </c>
      <c r="I84" s="10">
        <v>1139.0999999999999</v>
      </c>
      <c r="J84" s="11">
        <v>1510</v>
      </c>
      <c r="K84" s="9" t="s">
        <v>63</v>
      </c>
    </row>
    <row r="85" spans="1:11" ht="13.5" customHeight="1" x14ac:dyDescent="0.25">
      <c r="A85" s="12" t="s">
        <v>162</v>
      </c>
      <c r="B85" s="12">
        <v>2024</v>
      </c>
      <c r="C85" s="14" t="s">
        <v>59</v>
      </c>
      <c r="D85" s="14" t="s">
        <v>156</v>
      </c>
      <c r="E85" s="12" t="s">
        <v>157</v>
      </c>
      <c r="F85" s="14" t="s">
        <v>70</v>
      </c>
      <c r="G85" s="14" t="s">
        <v>71</v>
      </c>
      <c r="H85" s="15">
        <v>1940</v>
      </c>
      <c r="I85" s="15">
        <v>1175.8</v>
      </c>
      <c r="J85" s="16">
        <v>1650</v>
      </c>
      <c r="K85" s="14" t="s">
        <v>63</v>
      </c>
    </row>
    <row r="86" spans="1:11" ht="13.5" customHeight="1" x14ac:dyDescent="0.25">
      <c r="A86" s="7" t="s">
        <v>163</v>
      </c>
      <c r="B86" s="7">
        <v>2019</v>
      </c>
      <c r="C86" s="9" t="s">
        <v>59</v>
      </c>
      <c r="D86" s="9" t="s">
        <v>156</v>
      </c>
      <c r="E86" s="7" t="s">
        <v>157</v>
      </c>
      <c r="F86" s="9" t="s">
        <v>164</v>
      </c>
      <c r="G86" s="9" t="s">
        <v>165</v>
      </c>
      <c r="H86" s="10">
        <v>920</v>
      </c>
      <c r="I86" s="10">
        <v>582.29999999999995</v>
      </c>
      <c r="J86" s="11">
        <v>1580</v>
      </c>
      <c r="K86" s="9" t="s">
        <v>63</v>
      </c>
    </row>
    <row r="87" spans="1:11" ht="13.5" customHeight="1" x14ac:dyDescent="0.25">
      <c r="A87" s="12" t="s">
        <v>166</v>
      </c>
      <c r="B87" s="12">
        <v>2020</v>
      </c>
      <c r="C87" s="14" t="s">
        <v>59</v>
      </c>
      <c r="D87" s="14" t="s">
        <v>156</v>
      </c>
      <c r="E87" s="12" t="s">
        <v>157</v>
      </c>
      <c r="F87" s="14" t="s">
        <v>164</v>
      </c>
      <c r="G87" s="14" t="s">
        <v>165</v>
      </c>
      <c r="H87" s="15">
        <v>710</v>
      </c>
      <c r="I87" s="15">
        <v>537.9</v>
      </c>
      <c r="J87" s="16">
        <v>1320</v>
      </c>
      <c r="K87" s="14" t="s">
        <v>63</v>
      </c>
    </row>
    <row r="88" spans="1:11" ht="13.5" customHeight="1" x14ac:dyDescent="0.25">
      <c r="A88" s="7" t="s">
        <v>167</v>
      </c>
      <c r="B88" s="7">
        <v>2021</v>
      </c>
      <c r="C88" s="9" t="s">
        <v>59</v>
      </c>
      <c r="D88" s="9" t="s">
        <v>156</v>
      </c>
      <c r="E88" s="7" t="s">
        <v>157</v>
      </c>
      <c r="F88" s="9" t="s">
        <v>164</v>
      </c>
      <c r="G88" s="9" t="s">
        <v>165</v>
      </c>
      <c r="H88" s="10">
        <v>860</v>
      </c>
      <c r="I88" s="10">
        <v>502.9</v>
      </c>
      <c r="J88" s="11">
        <v>1710</v>
      </c>
      <c r="K88" s="9" t="s">
        <v>63</v>
      </c>
    </row>
    <row r="89" spans="1:11" ht="13.5" customHeight="1" x14ac:dyDescent="0.25">
      <c r="A89" s="12" t="s">
        <v>168</v>
      </c>
      <c r="B89" s="12">
        <v>2022</v>
      </c>
      <c r="C89" s="14" t="s">
        <v>59</v>
      </c>
      <c r="D89" s="14" t="s">
        <v>156</v>
      </c>
      <c r="E89" s="12" t="s">
        <v>157</v>
      </c>
      <c r="F89" s="14" t="s">
        <v>164</v>
      </c>
      <c r="G89" s="14" t="s">
        <v>165</v>
      </c>
      <c r="H89" s="15">
        <v>1060</v>
      </c>
      <c r="I89" s="15">
        <v>573</v>
      </c>
      <c r="J89" s="16">
        <v>1850</v>
      </c>
      <c r="K89" s="14" t="s">
        <v>63</v>
      </c>
    </row>
    <row r="90" spans="1:11" ht="13.5" customHeight="1" x14ac:dyDescent="0.25">
      <c r="A90" s="7" t="s">
        <v>169</v>
      </c>
      <c r="B90" s="7">
        <v>2023</v>
      </c>
      <c r="C90" s="9" t="s">
        <v>59</v>
      </c>
      <c r="D90" s="9" t="s">
        <v>156</v>
      </c>
      <c r="E90" s="7" t="s">
        <v>157</v>
      </c>
      <c r="F90" s="9" t="s">
        <v>164</v>
      </c>
      <c r="G90" s="9" t="s">
        <v>165</v>
      </c>
      <c r="H90" s="10">
        <v>860</v>
      </c>
      <c r="I90" s="10">
        <v>569.5</v>
      </c>
      <c r="J90" s="11">
        <v>1510</v>
      </c>
      <c r="K90" s="9" t="s">
        <v>63</v>
      </c>
    </row>
    <row r="91" spans="1:11" ht="13.5" customHeight="1" x14ac:dyDescent="0.25">
      <c r="A91" s="12" t="s">
        <v>170</v>
      </c>
      <c r="B91" s="12">
        <v>2024</v>
      </c>
      <c r="C91" s="14" t="s">
        <v>59</v>
      </c>
      <c r="D91" s="14" t="s">
        <v>156</v>
      </c>
      <c r="E91" s="12" t="s">
        <v>157</v>
      </c>
      <c r="F91" s="14" t="s">
        <v>164</v>
      </c>
      <c r="G91" s="14" t="s">
        <v>165</v>
      </c>
      <c r="H91" s="15">
        <v>960</v>
      </c>
      <c r="I91" s="15">
        <v>581.79999999999995</v>
      </c>
      <c r="J91" s="16">
        <v>1650</v>
      </c>
      <c r="K91" s="14" t="s">
        <v>63</v>
      </c>
    </row>
    <row r="92" spans="1:11" ht="13.5" customHeight="1" x14ac:dyDescent="0.25">
      <c r="A92" s="7" t="s">
        <v>171</v>
      </c>
      <c r="B92" s="7">
        <v>2019</v>
      </c>
      <c r="C92" s="9" t="s">
        <v>59</v>
      </c>
      <c r="D92" s="9" t="s">
        <v>156</v>
      </c>
      <c r="E92" s="7" t="s">
        <v>157</v>
      </c>
      <c r="F92" s="9" t="s">
        <v>115</v>
      </c>
      <c r="G92" s="9" t="s">
        <v>71</v>
      </c>
      <c r="H92" s="10">
        <v>710</v>
      </c>
      <c r="I92" s="10">
        <v>449.4</v>
      </c>
      <c r="J92" s="11">
        <v>1580</v>
      </c>
      <c r="K92" s="9" t="s">
        <v>63</v>
      </c>
    </row>
    <row r="93" spans="1:11" ht="13.5" customHeight="1" x14ac:dyDescent="0.25">
      <c r="A93" s="12" t="s">
        <v>172</v>
      </c>
      <c r="B93" s="12">
        <v>2020</v>
      </c>
      <c r="C93" s="14" t="s">
        <v>59</v>
      </c>
      <c r="D93" s="14" t="s">
        <v>156</v>
      </c>
      <c r="E93" s="12" t="s">
        <v>157</v>
      </c>
      <c r="F93" s="14" t="s">
        <v>115</v>
      </c>
      <c r="G93" s="14" t="s">
        <v>71</v>
      </c>
      <c r="H93" s="15">
        <v>560</v>
      </c>
      <c r="I93" s="15">
        <v>424.2</v>
      </c>
      <c r="J93" s="16">
        <v>1320</v>
      </c>
      <c r="K93" s="14" t="s">
        <v>63</v>
      </c>
    </row>
    <row r="94" spans="1:11" ht="13.5" customHeight="1" x14ac:dyDescent="0.25">
      <c r="A94" s="7" t="s">
        <v>173</v>
      </c>
      <c r="B94" s="7">
        <v>2021</v>
      </c>
      <c r="C94" s="9" t="s">
        <v>59</v>
      </c>
      <c r="D94" s="9" t="s">
        <v>156</v>
      </c>
      <c r="E94" s="7" t="s">
        <v>157</v>
      </c>
      <c r="F94" s="9" t="s">
        <v>115</v>
      </c>
      <c r="G94" s="9" t="s">
        <v>71</v>
      </c>
      <c r="H94" s="10">
        <v>680</v>
      </c>
      <c r="I94" s="10">
        <v>397.7</v>
      </c>
      <c r="J94" s="11">
        <v>1710</v>
      </c>
      <c r="K94" s="9" t="s">
        <v>63</v>
      </c>
    </row>
    <row r="95" spans="1:11" ht="13.5" customHeight="1" x14ac:dyDescent="0.25">
      <c r="A95" s="12" t="s">
        <v>174</v>
      </c>
      <c r="B95" s="12">
        <v>2022</v>
      </c>
      <c r="C95" s="14" t="s">
        <v>59</v>
      </c>
      <c r="D95" s="14" t="s">
        <v>156</v>
      </c>
      <c r="E95" s="12" t="s">
        <v>157</v>
      </c>
      <c r="F95" s="14" t="s">
        <v>115</v>
      </c>
      <c r="G95" s="14" t="s">
        <v>71</v>
      </c>
      <c r="H95" s="15">
        <v>830</v>
      </c>
      <c r="I95" s="15">
        <v>448.6</v>
      </c>
      <c r="J95" s="16">
        <v>1850</v>
      </c>
      <c r="K95" s="14" t="s">
        <v>63</v>
      </c>
    </row>
    <row r="96" spans="1:11" ht="13.5" customHeight="1" x14ac:dyDescent="0.25">
      <c r="A96" s="7" t="s">
        <v>175</v>
      </c>
      <c r="B96" s="7">
        <v>2023</v>
      </c>
      <c r="C96" s="9" t="s">
        <v>59</v>
      </c>
      <c r="D96" s="9" t="s">
        <v>156</v>
      </c>
      <c r="E96" s="7" t="s">
        <v>157</v>
      </c>
      <c r="F96" s="9" t="s">
        <v>115</v>
      </c>
      <c r="G96" s="9" t="s">
        <v>71</v>
      </c>
      <c r="H96" s="10">
        <v>670</v>
      </c>
      <c r="I96" s="10">
        <v>443.7</v>
      </c>
      <c r="J96" s="11">
        <v>1510</v>
      </c>
      <c r="K96" s="9" t="s">
        <v>63</v>
      </c>
    </row>
    <row r="97" spans="1:11" ht="13.5" customHeight="1" x14ac:dyDescent="0.25">
      <c r="A97" s="12" t="s">
        <v>176</v>
      </c>
      <c r="B97" s="12">
        <v>2024</v>
      </c>
      <c r="C97" s="14" t="s">
        <v>59</v>
      </c>
      <c r="D97" s="14" t="s">
        <v>156</v>
      </c>
      <c r="E97" s="12" t="s">
        <v>157</v>
      </c>
      <c r="F97" s="14" t="s">
        <v>115</v>
      </c>
      <c r="G97" s="14" t="s">
        <v>71</v>
      </c>
      <c r="H97" s="15">
        <v>750</v>
      </c>
      <c r="I97" s="15">
        <v>454.5</v>
      </c>
      <c r="J97" s="16">
        <v>1650</v>
      </c>
      <c r="K97" s="14" t="s">
        <v>63</v>
      </c>
    </row>
    <row r="98" spans="1:11" ht="13.5" customHeight="1" x14ac:dyDescent="0.25">
      <c r="A98" s="7" t="s">
        <v>177</v>
      </c>
      <c r="B98" s="7">
        <v>2019</v>
      </c>
      <c r="C98" s="9" t="s">
        <v>59</v>
      </c>
      <c r="D98" s="9" t="s">
        <v>178</v>
      </c>
      <c r="E98" s="7" t="s">
        <v>102</v>
      </c>
      <c r="F98" s="9" t="s">
        <v>70</v>
      </c>
      <c r="G98" s="9" t="s">
        <v>71</v>
      </c>
      <c r="H98" s="10">
        <v>3240</v>
      </c>
      <c r="I98" s="10">
        <v>5586.2</v>
      </c>
      <c r="J98" s="11">
        <v>580</v>
      </c>
      <c r="K98" s="9" t="s">
        <v>63</v>
      </c>
    </row>
    <row r="99" spans="1:11" ht="13.5" customHeight="1" x14ac:dyDescent="0.25">
      <c r="A99" s="12" t="s">
        <v>179</v>
      </c>
      <c r="B99" s="12">
        <v>2020</v>
      </c>
      <c r="C99" s="14" t="s">
        <v>59</v>
      </c>
      <c r="D99" s="14" t="s">
        <v>178</v>
      </c>
      <c r="E99" s="12" t="s">
        <v>102</v>
      </c>
      <c r="F99" s="14" t="s">
        <v>70</v>
      </c>
      <c r="G99" s="14" t="s">
        <v>71</v>
      </c>
      <c r="H99" s="15">
        <v>2020</v>
      </c>
      <c r="I99" s="15">
        <v>5179.5</v>
      </c>
      <c r="J99" s="16">
        <v>390</v>
      </c>
      <c r="K99" s="14" t="s">
        <v>63</v>
      </c>
    </row>
    <row r="100" spans="1:11" ht="13.5" customHeight="1" x14ac:dyDescent="0.25">
      <c r="A100" s="7" t="s">
        <v>180</v>
      </c>
      <c r="B100" s="7">
        <v>2021</v>
      </c>
      <c r="C100" s="9" t="s">
        <v>59</v>
      </c>
      <c r="D100" s="9" t="s">
        <v>178</v>
      </c>
      <c r="E100" s="7" t="s">
        <v>102</v>
      </c>
      <c r="F100" s="9" t="s">
        <v>70</v>
      </c>
      <c r="G100" s="9" t="s">
        <v>71</v>
      </c>
      <c r="H100" s="10">
        <v>2840</v>
      </c>
      <c r="I100" s="10">
        <v>4303</v>
      </c>
      <c r="J100" s="11">
        <v>660</v>
      </c>
      <c r="K100" s="9" t="s">
        <v>63</v>
      </c>
    </row>
    <row r="101" spans="1:11" ht="13.5" customHeight="1" x14ac:dyDescent="0.25">
      <c r="A101" s="12" t="s">
        <v>181</v>
      </c>
      <c r="B101" s="12">
        <v>2022</v>
      </c>
      <c r="C101" s="14" t="s">
        <v>59</v>
      </c>
      <c r="D101" s="14" t="s">
        <v>178</v>
      </c>
      <c r="E101" s="12" t="s">
        <v>102</v>
      </c>
      <c r="F101" s="14" t="s">
        <v>70</v>
      </c>
      <c r="G101" s="14" t="s">
        <v>71</v>
      </c>
      <c r="H101" s="15">
        <v>4060</v>
      </c>
      <c r="I101" s="15">
        <v>4613.6000000000004</v>
      </c>
      <c r="J101" s="16">
        <v>880</v>
      </c>
      <c r="K101" s="14" t="s">
        <v>63</v>
      </c>
    </row>
    <row r="102" spans="1:11" ht="13.5" customHeight="1" x14ac:dyDescent="0.25">
      <c r="A102" s="7" t="s">
        <v>182</v>
      </c>
      <c r="B102" s="7">
        <v>2023</v>
      </c>
      <c r="C102" s="9" t="s">
        <v>59</v>
      </c>
      <c r="D102" s="9" t="s">
        <v>178</v>
      </c>
      <c r="E102" s="7" t="s">
        <v>102</v>
      </c>
      <c r="F102" s="9" t="s">
        <v>70</v>
      </c>
      <c r="G102" s="9" t="s">
        <v>71</v>
      </c>
      <c r="H102" s="10">
        <v>3440</v>
      </c>
      <c r="I102" s="10">
        <v>4410.3</v>
      </c>
      <c r="J102" s="11">
        <v>780</v>
      </c>
      <c r="K102" s="9" t="s">
        <v>63</v>
      </c>
    </row>
    <row r="103" spans="1:11" ht="13.5" customHeight="1" x14ac:dyDescent="0.25">
      <c r="A103" s="12" t="s">
        <v>183</v>
      </c>
      <c r="B103" s="12">
        <v>2024</v>
      </c>
      <c r="C103" s="14" t="s">
        <v>59</v>
      </c>
      <c r="D103" s="14" t="s">
        <v>178</v>
      </c>
      <c r="E103" s="12" t="s">
        <v>102</v>
      </c>
      <c r="F103" s="14" t="s">
        <v>70</v>
      </c>
      <c r="G103" s="14" t="s">
        <v>71</v>
      </c>
      <c r="H103" s="15">
        <v>2860</v>
      </c>
      <c r="I103" s="15">
        <v>3763.2</v>
      </c>
      <c r="J103" s="16">
        <v>760</v>
      </c>
      <c r="K103" s="14" t="s">
        <v>63</v>
      </c>
    </row>
    <row r="104" spans="1:11" ht="13.5" customHeight="1" x14ac:dyDescent="0.25">
      <c r="A104" s="7" t="s">
        <v>184</v>
      </c>
      <c r="B104" s="7">
        <v>2019</v>
      </c>
      <c r="C104" s="9" t="s">
        <v>59</v>
      </c>
      <c r="D104" s="9" t="s">
        <v>178</v>
      </c>
      <c r="E104" s="7" t="s">
        <v>102</v>
      </c>
      <c r="F104" s="9" t="s">
        <v>185</v>
      </c>
      <c r="G104" s="9" t="s">
        <v>94</v>
      </c>
      <c r="H104" s="10">
        <v>1840</v>
      </c>
      <c r="I104" s="10">
        <v>3172.4</v>
      </c>
      <c r="J104" s="11">
        <v>580</v>
      </c>
      <c r="K104" s="9" t="s">
        <v>63</v>
      </c>
    </row>
    <row r="105" spans="1:11" ht="13.5" customHeight="1" x14ac:dyDescent="0.25">
      <c r="A105" s="12" t="s">
        <v>186</v>
      </c>
      <c r="B105" s="12">
        <v>2020</v>
      </c>
      <c r="C105" s="14" t="s">
        <v>59</v>
      </c>
      <c r="D105" s="14" t="s">
        <v>178</v>
      </c>
      <c r="E105" s="12" t="s">
        <v>102</v>
      </c>
      <c r="F105" s="14" t="s">
        <v>185</v>
      </c>
      <c r="G105" s="14" t="s">
        <v>94</v>
      </c>
      <c r="H105" s="15">
        <v>1120</v>
      </c>
      <c r="I105" s="15">
        <v>2871.8</v>
      </c>
      <c r="J105" s="16">
        <v>390</v>
      </c>
      <c r="K105" s="14" t="s">
        <v>63</v>
      </c>
    </row>
    <row r="106" spans="1:11" ht="13.5" customHeight="1" x14ac:dyDescent="0.25">
      <c r="A106" s="7" t="s">
        <v>187</v>
      </c>
      <c r="B106" s="7">
        <v>2021</v>
      </c>
      <c r="C106" s="9" t="s">
        <v>59</v>
      </c>
      <c r="D106" s="9" t="s">
        <v>178</v>
      </c>
      <c r="E106" s="7" t="s">
        <v>102</v>
      </c>
      <c r="F106" s="9" t="s">
        <v>185</v>
      </c>
      <c r="G106" s="9" t="s">
        <v>94</v>
      </c>
      <c r="H106" s="10">
        <v>1640</v>
      </c>
      <c r="I106" s="10">
        <v>2484.8000000000002</v>
      </c>
      <c r="J106" s="11">
        <v>660</v>
      </c>
      <c r="K106" s="9" t="s">
        <v>63</v>
      </c>
    </row>
    <row r="107" spans="1:11" ht="13.5" customHeight="1" x14ac:dyDescent="0.25">
      <c r="A107" s="12" t="s">
        <v>188</v>
      </c>
      <c r="B107" s="12">
        <v>2022</v>
      </c>
      <c r="C107" s="14" t="s">
        <v>59</v>
      </c>
      <c r="D107" s="14" t="s">
        <v>178</v>
      </c>
      <c r="E107" s="12" t="s">
        <v>102</v>
      </c>
      <c r="F107" s="14" t="s">
        <v>185</v>
      </c>
      <c r="G107" s="14" t="s">
        <v>94</v>
      </c>
      <c r="H107" s="15">
        <v>2340</v>
      </c>
      <c r="I107" s="15">
        <v>2659.1</v>
      </c>
      <c r="J107" s="16">
        <v>880</v>
      </c>
      <c r="K107" s="14" t="s">
        <v>63</v>
      </c>
    </row>
    <row r="108" spans="1:11" ht="13.5" customHeight="1" x14ac:dyDescent="0.25">
      <c r="A108" s="7" t="s">
        <v>189</v>
      </c>
      <c r="B108" s="7">
        <v>2023</v>
      </c>
      <c r="C108" s="9" t="s">
        <v>59</v>
      </c>
      <c r="D108" s="9" t="s">
        <v>178</v>
      </c>
      <c r="E108" s="7" t="s">
        <v>102</v>
      </c>
      <c r="F108" s="9" t="s">
        <v>185</v>
      </c>
      <c r="G108" s="9" t="s">
        <v>94</v>
      </c>
      <c r="H108" s="10">
        <v>1940</v>
      </c>
      <c r="I108" s="10">
        <v>2487.1999999999998</v>
      </c>
      <c r="J108" s="11">
        <v>780</v>
      </c>
      <c r="K108" s="9" t="s">
        <v>63</v>
      </c>
    </row>
    <row r="109" spans="1:11" ht="13.5" customHeight="1" x14ac:dyDescent="0.25">
      <c r="A109" s="12" t="s">
        <v>190</v>
      </c>
      <c r="B109" s="12">
        <v>2024</v>
      </c>
      <c r="C109" s="14" t="s">
        <v>59</v>
      </c>
      <c r="D109" s="14" t="s">
        <v>178</v>
      </c>
      <c r="E109" s="12" t="s">
        <v>102</v>
      </c>
      <c r="F109" s="14" t="s">
        <v>185</v>
      </c>
      <c r="G109" s="14" t="s">
        <v>94</v>
      </c>
      <c r="H109" s="15">
        <v>1640</v>
      </c>
      <c r="I109" s="15">
        <v>2157.9</v>
      </c>
      <c r="J109" s="16">
        <v>760</v>
      </c>
      <c r="K109" s="14" t="s">
        <v>63</v>
      </c>
    </row>
    <row r="110" spans="1:11" ht="13.5" customHeight="1" x14ac:dyDescent="0.25">
      <c r="A110" s="7" t="s">
        <v>191</v>
      </c>
      <c r="B110" s="7">
        <v>2019</v>
      </c>
      <c r="C110" s="9" t="s">
        <v>59</v>
      </c>
      <c r="D110" s="9" t="s">
        <v>178</v>
      </c>
      <c r="E110" s="7" t="s">
        <v>102</v>
      </c>
      <c r="F110" s="9" t="s">
        <v>115</v>
      </c>
      <c r="G110" s="9" t="s">
        <v>71</v>
      </c>
      <c r="H110" s="10">
        <v>1540</v>
      </c>
      <c r="I110" s="10">
        <v>2655.2</v>
      </c>
      <c r="J110" s="11">
        <v>580</v>
      </c>
      <c r="K110" s="9" t="s">
        <v>63</v>
      </c>
    </row>
    <row r="111" spans="1:11" ht="13.5" customHeight="1" x14ac:dyDescent="0.25">
      <c r="A111" s="12" t="s">
        <v>192</v>
      </c>
      <c r="B111" s="12">
        <v>2020</v>
      </c>
      <c r="C111" s="14" t="s">
        <v>59</v>
      </c>
      <c r="D111" s="14" t="s">
        <v>178</v>
      </c>
      <c r="E111" s="12" t="s">
        <v>102</v>
      </c>
      <c r="F111" s="14" t="s">
        <v>115</v>
      </c>
      <c r="G111" s="14" t="s">
        <v>71</v>
      </c>
      <c r="H111" s="15">
        <v>960</v>
      </c>
      <c r="I111" s="15">
        <v>2461.5</v>
      </c>
      <c r="J111" s="16">
        <v>390</v>
      </c>
      <c r="K111" s="14" t="s">
        <v>63</v>
      </c>
    </row>
    <row r="112" spans="1:11" ht="13.5" customHeight="1" x14ac:dyDescent="0.25">
      <c r="A112" s="7" t="s">
        <v>193</v>
      </c>
      <c r="B112" s="7">
        <v>2021</v>
      </c>
      <c r="C112" s="9" t="s">
        <v>59</v>
      </c>
      <c r="D112" s="9" t="s">
        <v>178</v>
      </c>
      <c r="E112" s="7" t="s">
        <v>102</v>
      </c>
      <c r="F112" s="9" t="s">
        <v>115</v>
      </c>
      <c r="G112" s="9" t="s">
        <v>71</v>
      </c>
      <c r="H112" s="10">
        <v>1320</v>
      </c>
      <c r="I112" s="10">
        <v>2000</v>
      </c>
      <c r="J112" s="11">
        <v>660</v>
      </c>
      <c r="K112" s="9" t="s">
        <v>63</v>
      </c>
    </row>
    <row r="113" spans="1:11" ht="13.5" customHeight="1" x14ac:dyDescent="0.25">
      <c r="A113" s="12" t="s">
        <v>194</v>
      </c>
      <c r="B113" s="12">
        <v>2022</v>
      </c>
      <c r="C113" s="14" t="s">
        <v>59</v>
      </c>
      <c r="D113" s="14" t="s">
        <v>178</v>
      </c>
      <c r="E113" s="12" t="s">
        <v>102</v>
      </c>
      <c r="F113" s="14" t="s">
        <v>115</v>
      </c>
      <c r="G113" s="14" t="s">
        <v>71</v>
      </c>
      <c r="H113" s="15">
        <v>1940</v>
      </c>
      <c r="I113" s="15">
        <v>2204.5</v>
      </c>
      <c r="J113" s="16">
        <v>880</v>
      </c>
      <c r="K113" s="14" t="s">
        <v>63</v>
      </c>
    </row>
    <row r="114" spans="1:11" ht="13.5" customHeight="1" x14ac:dyDescent="0.25">
      <c r="A114" s="7" t="s">
        <v>195</v>
      </c>
      <c r="B114" s="7">
        <v>2023</v>
      </c>
      <c r="C114" s="9" t="s">
        <v>59</v>
      </c>
      <c r="D114" s="9" t="s">
        <v>178</v>
      </c>
      <c r="E114" s="7" t="s">
        <v>102</v>
      </c>
      <c r="F114" s="9" t="s">
        <v>115</v>
      </c>
      <c r="G114" s="9" t="s">
        <v>71</v>
      </c>
      <c r="H114" s="10">
        <v>1640</v>
      </c>
      <c r="I114" s="10">
        <v>2102.6</v>
      </c>
      <c r="J114" s="11">
        <v>780</v>
      </c>
      <c r="K114" s="9" t="s">
        <v>63</v>
      </c>
    </row>
    <row r="115" spans="1:11" ht="13.5" customHeight="1" x14ac:dyDescent="0.25">
      <c r="A115" s="12" t="s">
        <v>196</v>
      </c>
      <c r="B115" s="12">
        <v>2024</v>
      </c>
      <c r="C115" s="14" t="s">
        <v>59</v>
      </c>
      <c r="D115" s="14" t="s">
        <v>178</v>
      </c>
      <c r="E115" s="12" t="s">
        <v>102</v>
      </c>
      <c r="F115" s="14" t="s">
        <v>115</v>
      </c>
      <c r="G115" s="14" t="s">
        <v>71</v>
      </c>
      <c r="H115" s="15">
        <v>1340</v>
      </c>
      <c r="I115" s="15">
        <v>1763.2</v>
      </c>
      <c r="J115" s="16">
        <v>760</v>
      </c>
      <c r="K115" s="14" t="s">
        <v>63</v>
      </c>
    </row>
    <row r="116" spans="1:11" ht="13.5" customHeight="1" x14ac:dyDescent="0.25">
      <c r="A116" s="7" t="s">
        <v>197</v>
      </c>
      <c r="B116" s="7">
        <v>2019</v>
      </c>
      <c r="C116" s="9" t="s">
        <v>59</v>
      </c>
      <c r="D116" s="9" t="s">
        <v>198</v>
      </c>
      <c r="E116" s="7" t="s">
        <v>199</v>
      </c>
      <c r="F116" s="9" t="s">
        <v>164</v>
      </c>
      <c r="G116" s="9" t="s">
        <v>165</v>
      </c>
      <c r="H116" s="10">
        <v>354</v>
      </c>
      <c r="I116" s="10">
        <v>194.5</v>
      </c>
      <c r="J116" s="11">
        <v>1820</v>
      </c>
      <c r="K116" s="9" t="s">
        <v>63</v>
      </c>
    </row>
    <row r="117" spans="1:11" ht="13.5" customHeight="1" x14ac:dyDescent="0.25">
      <c r="A117" s="12" t="s">
        <v>200</v>
      </c>
      <c r="B117" s="12">
        <v>2020</v>
      </c>
      <c r="C117" s="14" t="s">
        <v>59</v>
      </c>
      <c r="D117" s="14" t="s">
        <v>198</v>
      </c>
      <c r="E117" s="12" t="s">
        <v>199</v>
      </c>
      <c r="F117" s="14" t="s">
        <v>164</v>
      </c>
      <c r="G117" s="14" t="s">
        <v>165</v>
      </c>
      <c r="H117" s="15">
        <v>322</v>
      </c>
      <c r="I117" s="15">
        <v>183</v>
      </c>
      <c r="J117" s="16">
        <v>1760</v>
      </c>
      <c r="K117" s="14" t="s">
        <v>63</v>
      </c>
    </row>
    <row r="118" spans="1:11" ht="13.5" customHeight="1" x14ac:dyDescent="0.25">
      <c r="A118" s="7" t="s">
        <v>201</v>
      </c>
      <c r="B118" s="7">
        <v>2021</v>
      </c>
      <c r="C118" s="9" t="s">
        <v>59</v>
      </c>
      <c r="D118" s="9" t="s">
        <v>198</v>
      </c>
      <c r="E118" s="7" t="s">
        <v>199</v>
      </c>
      <c r="F118" s="9" t="s">
        <v>164</v>
      </c>
      <c r="G118" s="9" t="s">
        <v>165</v>
      </c>
      <c r="H118" s="10">
        <v>394</v>
      </c>
      <c r="I118" s="10">
        <v>186.7</v>
      </c>
      <c r="J118" s="11">
        <v>2110</v>
      </c>
      <c r="K118" s="9" t="s">
        <v>63</v>
      </c>
    </row>
    <row r="119" spans="1:11" ht="13.5" customHeight="1" x14ac:dyDescent="0.25">
      <c r="A119" s="12" t="s">
        <v>202</v>
      </c>
      <c r="B119" s="12">
        <v>2022</v>
      </c>
      <c r="C119" s="14" t="s">
        <v>59</v>
      </c>
      <c r="D119" s="14" t="s">
        <v>198</v>
      </c>
      <c r="E119" s="12" t="s">
        <v>199</v>
      </c>
      <c r="F119" s="14" t="s">
        <v>164</v>
      </c>
      <c r="G119" s="14" t="s">
        <v>165</v>
      </c>
      <c r="H119" s="15">
        <v>526</v>
      </c>
      <c r="I119" s="15">
        <v>212.1</v>
      </c>
      <c r="J119" s="16">
        <v>2480</v>
      </c>
      <c r="K119" s="14" t="s">
        <v>63</v>
      </c>
    </row>
    <row r="120" spans="1:11" ht="13.5" customHeight="1" x14ac:dyDescent="0.25">
      <c r="A120" s="7" t="s">
        <v>203</v>
      </c>
      <c r="B120" s="7">
        <v>2023</v>
      </c>
      <c r="C120" s="9" t="s">
        <v>59</v>
      </c>
      <c r="D120" s="9" t="s">
        <v>198</v>
      </c>
      <c r="E120" s="7" t="s">
        <v>199</v>
      </c>
      <c r="F120" s="9" t="s">
        <v>164</v>
      </c>
      <c r="G120" s="9" t="s">
        <v>165</v>
      </c>
      <c r="H120" s="10">
        <v>484</v>
      </c>
      <c r="I120" s="10">
        <v>206.8</v>
      </c>
      <c r="J120" s="11">
        <v>2340</v>
      </c>
      <c r="K120" s="9" t="s">
        <v>63</v>
      </c>
    </row>
    <row r="121" spans="1:11" ht="13.5" customHeight="1" x14ac:dyDescent="0.25">
      <c r="A121" s="12" t="s">
        <v>204</v>
      </c>
      <c r="B121" s="12">
        <v>2024</v>
      </c>
      <c r="C121" s="14" t="s">
        <v>59</v>
      </c>
      <c r="D121" s="14" t="s">
        <v>198</v>
      </c>
      <c r="E121" s="12" t="s">
        <v>199</v>
      </c>
      <c r="F121" s="14" t="s">
        <v>164</v>
      </c>
      <c r="G121" s="14" t="s">
        <v>165</v>
      </c>
      <c r="H121" s="15">
        <v>458</v>
      </c>
      <c r="I121" s="15">
        <v>176.2</v>
      </c>
      <c r="J121" s="16">
        <v>2600</v>
      </c>
      <c r="K121" s="14" t="s">
        <v>63</v>
      </c>
    </row>
    <row r="122" spans="1:11" ht="13.5" customHeight="1" x14ac:dyDescent="0.25">
      <c r="A122" s="7" t="s">
        <v>205</v>
      </c>
      <c r="B122" s="7">
        <v>2019</v>
      </c>
      <c r="C122" s="9" t="s">
        <v>59</v>
      </c>
      <c r="D122" s="9" t="s">
        <v>198</v>
      </c>
      <c r="E122" s="7" t="s">
        <v>199</v>
      </c>
      <c r="F122" s="9" t="s">
        <v>78</v>
      </c>
      <c r="G122" s="9" t="s">
        <v>79</v>
      </c>
      <c r="H122" s="10">
        <v>284</v>
      </c>
      <c r="I122" s="10">
        <v>156</v>
      </c>
      <c r="J122" s="11">
        <v>1820</v>
      </c>
      <c r="K122" s="9" t="s">
        <v>63</v>
      </c>
    </row>
    <row r="123" spans="1:11" ht="13.5" customHeight="1" x14ac:dyDescent="0.25">
      <c r="A123" s="12" t="s">
        <v>206</v>
      </c>
      <c r="B123" s="12">
        <v>2020</v>
      </c>
      <c r="C123" s="14" t="s">
        <v>59</v>
      </c>
      <c r="D123" s="14" t="s">
        <v>198</v>
      </c>
      <c r="E123" s="12" t="s">
        <v>199</v>
      </c>
      <c r="F123" s="14" t="s">
        <v>78</v>
      </c>
      <c r="G123" s="14" t="s">
        <v>79</v>
      </c>
      <c r="H123" s="15">
        <v>264</v>
      </c>
      <c r="I123" s="15">
        <v>150</v>
      </c>
      <c r="J123" s="16">
        <v>1760</v>
      </c>
      <c r="K123" s="14" t="s">
        <v>63</v>
      </c>
    </row>
    <row r="124" spans="1:11" ht="13.5" customHeight="1" x14ac:dyDescent="0.25">
      <c r="A124" s="7" t="s">
        <v>207</v>
      </c>
      <c r="B124" s="7">
        <v>2021</v>
      </c>
      <c r="C124" s="9" t="s">
        <v>59</v>
      </c>
      <c r="D124" s="9" t="s">
        <v>198</v>
      </c>
      <c r="E124" s="7" t="s">
        <v>199</v>
      </c>
      <c r="F124" s="9" t="s">
        <v>78</v>
      </c>
      <c r="G124" s="9" t="s">
        <v>79</v>
      </c>
      <c r="H124" s="10">
        <v>314</v>
      </c>
      <c r="I124" s="10">
        <v>148.80000000000001</v>
      </c>
      <c r="J124" s="11">
        <v>2110</v>
      </c>
      <c r="K124" s="9" t="s">
        <v>63</v>
      </c>
    </row>
    <row r="125" spans="1:11" ht="13.5" customHeight="1" x14ac:dyDescent="0.25">
      <c r="A125" s="12" t="s">
        <v>208</v>
      </c>
      <c r="B125" s="12">
        <v>2022</v>
      </c>
      <c r="C125" s="14" t="s">
        <v>59</v>
      </c>
      <c r="D125" s="14" t="s">
        <v>198</v>
      </c>
      <c r="E125" s="12" t="s">
        <v>199</v>
      </c>
      <c r="F125" s="14" t="s">
        <v>78</v>
      </c>
      <c r="G125" s="14" t="s">
        <v>79</v>
      </c>
      <c r="H125" s="15">
        <v>426</v>
      </c>
      <c r="I125" s="15">
        <v>171.8</v>
      </c>
      <c r="J125" s="16">
        <v>2480</v>
      </c>
      <c r="K125" s="14" t="s">
        <v>63</v>
      </c>
    </row>
    <row r="126" spans="1:11" ht="13.5" customHeight="1" x14ac:dyDescent="0.25">
      <c r="A126" s="7" t="s">
        <v>209</v>
      </c>
      <c r="B126" s="7">
        <v>2023</v>
      </c>
      <c r="C126" s="9" t="s">
        <v>59</v>
      </c>
      <c r="D126" s="9" t="s">
        <v>198</v>
      </c>
      <c r="E126" s="7" t="s">
        <v>199</v>
      </c>
      <c r="F126" s="9" t="s">
        <v>78</v>
      </c>
      <c r="G126" s="9" t="s">
        <v>79</v>
      </c>
      <c r="H126" s="10">
        <v>384</v>
      </c>
      <c r="I126" s="10">
        <v>164.1</v>
      </c>
      <c r="J126" s="11">
        <v>2340</v>
      </c>
      <c r="K126" s="9" t="s">
        <v>63</v>
      </c>
    </row>
    <row r="127" spans="1:11" ht="13.5" customHeight="1" x14ac:dyDescent="0.25">
      <c r="A127" s="12" t="s">
        <v>210</v>
      </c>
      <c r="B127" s="12">
        <v>2024</v>
      </c>
      <c r="C127" s="14" t="s">
        <v>59</v>
      </c>
      <c r="D127" s="14" t="s">
        <v>198</v>
      </c>
      <c r="E127" s="12" t="s">
        <v>199</v>
      </c>
      <c r="F127" s="14" t="s">
        <v>78</v>
      </c>
      <c r="G127" s="14" t="s">
        <v>79</v>
      </c>
      <c r="H127" s="15">
        <v>364</v>
      </c>
      <c r="I127" s="15">
        <v>140</v>
      </c>
      <c r="J127" s="16">
        <v>2600</v>
      </c>
      <c r="K127" s="14" t="s">
        <v>63</v>
      </c>
    </row>
    <row r="128" spans="1:11" ht="13.5" customHeight="1" x14ac:dyDescent="0.25">
      <c r="A128" s="7" t="s">
        <v>211</v>
      </c>
      <c r="B128" s="7">
        <v>2019</v>
      </c>
      <c r="C128" s="9" t="s">
        <v>59</v>
      </c>
      <c r="D128" s="9" t="s">
        <v>198</v>
      </c>
      <c r="E128" s="7" t="s">
        <v>199</v>
      </c>
      <c r="F128" s="9" t="s">
        <v>115</v>
      </c>
      <c r="G128" s="9" t="s">
        <v>71</v>
      </c>
      <c r="H128" s="10">
        <v>124</v>
      </c>
      <c r="I128" s="10">
        <v>68.099999999999994</v>
      </c>
      <c r="J128" s="11">
        <v>1820</v>
      </c>
      <c r="K128" s="9" t="s">
        <v>63</v>
      </c>
    </row>
    <row r="129" spans="1:11" ht="13.5" customHeight="1" x14ac:dyDescent="0.25">
      <c r="A129" s="12" t="s">
        <v>212</v>
      </c>
      <c r="B129" s="12">
        <v>2020</v>
      </c>
      <c r="C129" s="14" t="s">
        <v>59</v>
      </c>
      <c r="D129" s="14" t="s">
        <v>198</v>
      </c>
      <c r="E129" s="12" t="s">
        <v>199</v>
      </c>
      <c r="F129" s="14" t="s">
        <v>115</v>
      </c>
      <c r="G129" s="14" t="s">
        <v>71</v>
      </c>
      <c r="H129" s="15">
        <v>112</v>
      </c>
      <c r="I129" s="15">
        <v>63.6</v>
      </c>
      <c r="J129" s="16">
        <v>1760</v>
      </c>
      <c r="K129" s="14" t="s">
        <v>63</v>
      </c>
    </row>
    <row r="130" spans="1:11" ht="13.5" customHeight="1" x14ac:dyDescent="0.25">
      <c r="A130" s="7" t="s">
        <v>213</v>
      </c>
      <c r="B130" s="7">
        <v>2021</v>
      </c>
      <c r="C130" s="9" t="s">
        <v>59</v>
      </c>
      <c r="D130" s="9" t="s">
        <v>198</v>
      </c>
      <c r="E130" s="7" t="s">
        <v>199</v>
      </c>
      <c r="F130" s="9" t="s">
        <v>115</v>
      </c>
      <c r="G130" s="9" t="s">
        <v>71</v>
      </c>
      <c r="H130" s="10">
        <v>138</v>
      </c>
      <c r="I130" s="10">
        <v>65.400000000000006</v>
      </c>
      <c r="J130" s="11">
        <v>2110</v>
      </c>
      <c r="K130" s="9" t="s">
        <v>63</v>
      </c>
    </row>
    <row r="131" spans="1:11" ht="13.5" customHeight="1" x14ac:dyDescent="0.25">
      <c r="A131" s="12" t="s">
        <v>214</v>
      </c>
      <c r="B131" s="12">
        <v>2022</v>
      </c>
      <c r="C131" s="14" t="s">
        <v>59</v>
      </c>
      <c r="D131" s="14" t="s">
        <v>198</v>
      </c>
      <c r="E131" s="12" t="s">
        <v>199</v>
      </c>
      <c r="F131" s="14" t="s">
        <v>115</v>
      </c>
      <c r="G131" s="14" t="s">
        <v>71</v>
      </c>
      <c r="H131" s="15">
        <v>184</v>
      </c>
      <c r="I131" s="15">
        <v>74.2</v>
      </c>
      <c r="J131" s="16">
        <v>2480</v>
      </c>
      <c r="K131" s="14" t="s">
        <v>63</v>
      </c>
    </row>
    <row r="132" spans="1:11" ht="13.5" customHeight="1" x14ac:dyDescent="0.25">
      <c r="A132" s="7" t="s">
        <v>215</v>
      </c>
      <c r="B132" s="7">
        <v>2023</v>
      </c>
      <c r="C132" s="9" t="s">
        <v>59</v>
      </c>
      <c r="D132" s="9" t="s">
        <v>198</v>
      </c>
      <c r="E132" s="7" t="s">
        <v>199</v>
      </c>
      <c r="F132" s="9" t="s">
        <v>115</v>
      </c>
      <c r="G132" s="9" t="s">
        <v>71</v>
      </c>
      <c r="H132" s="10">
        <v>168</v>
      </c>
      <c r="I132" s="10">
        <v>71.8</v>
      </c>
      <c r="J132" s="11">
        <v>2340</v>
      </c>
      <c r="K132" s="9" t="s">
        <v>63</v>
      </c>
    </row>
    <row r="133" spans="1:11" ht="13.5" customHeight="1" x14ac:dyDescent="0.25">
      <c r="A133" s="12" t="s">
        <v>216</v>
      </c>
      <c r="B133" s="12">
        <v>2024</v>
      </c>
      <c r="C133" s="14" t="s">
        <v>59</v>
      </c>
      <c r="D133" s="14" t="s">
        <v>198</v>
      </c>
      <c r="E133" s="12" t="s">
        <v>199</v>
      </c>
      <c r="F133" s="14" t="s">
        <v>115</v>
      </c>
      <c r="G133" s="14" t="s">
        <v>71</v>
      </c>
      <c r="H133" s="15">
        <v>158</v>
      </c>
      <c r="I133" s="15">
        <v>60.8</v>
      </c>
      <c r="J133" s="16">
        <v>2600</v>
      </c>
      <c r="K133" s="14" t="s">
        <v>63</v>
      </c>
    </row>
    <row r="134" spans="1:11" ht="13.5" customHeight="1" x14ac:dyDescent="0.25">
      <c r="A134" s="7" t="s">
        <v>217</v>
      </c>
      <c r="B134" s="7">
        <v>2019</v>
      </c>
      <c r="C134" s="9" t="s">
        <v>218</v>
      </c>
      <c r="D134" s="9" t="s">
        <v>219</v>
      </c>
      <c r="E134" s="7" t="s">
        <v>220</v>
      </c>
      <c r="F134" s="9" t="s">
        <v>70</v>
      </c>
      <c r="G134" s="9" t="s">
        <v>71</v>
      </c>
      <c r="H134" s="10">
        <v>4840</v>
      </c>
      <c r="I134" s="10">
        <v>930.8</v>
      </c>
      <c r="J134" s="11">
        <v>5200</v>
      </c>
      <c r="K134" s="9" t="s">
        <v>221</v>
      </c>
    </row>
    <row r="135" spans="1:11" ht="13.5" customHeight="1" x14ac:dyDescent="0.25">
      <c r="A135" s="12" t="s">
        <v>222</v>
      </c>
      <c r="B135" s="12">
        <v>2020</v>
      </c>
      <c r="C135" s="14" t="s">
        <v>218</v>
      </c>
      <c r="D135" s="14" t="s">
        <v>219</v>
      </c>
      <c r="E135" s="12" t="s">
        <v>220</v>
      </c>
      <c r="F135" s="14" t="s">
        <v>70</v>
      </c>
      <c r="G135" s="14" t="s">
        <v>71</v>
      </c>
      <c r="H135" s="15">
        <v>3940</v>
      </c>
      <c r="I135" s="15">
        <v>804.1</v>
      </c>
      <c r="J135" s="16">
        <v>4900</v>
      </c>
      <c r="K135" s="14" t="s">
        <v>221</v>
      </c>
    </row>
    <row r="136" spans="1:11" ht="13.5" customHeight="1" x14ac:dyDescent="0.25">
      <c r="A136" s="7" t="s">
        <v>223</v>
      </c>
      <c r="B136" s="7">
        <v>2021</v>
      </c>
      <c r="C136" s="9" t="s">
        <v>218</v>
      </c>
      <c r="D136" s="9" t="s">
        <v>219</v>
      </c>
      <c r="E136" s="7" t="s">
        <v>220</v>
      </c>
      <c r="F136" s="9" t="s">
        <v>70</v>
      </c>
      <c r="G136" s="9" t="s">
        <v>71</v>
      </c>
      <c r="H136" s="10">
        <v>5240</v>
      </c>
      <c r="I136" s="10">
        <v>952.7</v>
      </c>
      <c r="J136" s="11">
        <v>5500</v>
      </c>
      <c r="K136" s="9" t="s">
        <v>221</v>
      </c>
    </row>
    <row r="137" spans="1:11" ht="13.5" customHeight="1" x14ac:dyDescent="0.25">
      <c r="A137" s="12" t="s">
        <v>224</v>
      </c>
      <c r="B137" s="12">
        <v>2022</v>
      </c>
      <c r="C137" s="14" t="s">
        <v>218</v>
      </c>
      <c r="D137" s="14" t="s">
        <v>219</v>
      </c>
      <c r="E137" s="12" t="s">
        <v>220</v>
      </c>
      <c r="F137" s="14" t="s">
        <v>70</v>
      </c>
      <c r="G137" s="14" t="s">
        <v>71</v>
      </c>
      <c r="H137" s="15">
        <v>6040</v>
      </c>
      <c r="I137" s="15">
        <v>1041.4000000000001</v>
      </c>
      <c r="J137" s="16">
        <v>5800</v>
      </c>
      <c r="K137" s="14" t="s">
        <v>221</v>
      </c>
    </row>
    <row r="138" spans="1:11" ht="13.5" customHeight="1" x14ac:dyDescent="0.25">
      <c r="A138" s="7" t="s">
        <v>225</v>
      </c>
      <c r="B138" s="7">
        <v>2023</v>
      </c>
      <c r="C138" s="9" t="s">
        <v>218</v>
      </c>
      <c r="D138" s="9" t="s">
        <v>219</v>
      </c>
      <c r="E138" s="7" t="s">
        <v>220</v>
      </c>
      <c r="F138" s="9" t="s">
        <v>70</v>
      </c>
      <c r="G138" s="9" t="s">
        <v>71</v>
      </c>
      <c r="H138" s="10">
        <v>5640</v>
      </c>
      <c r="I138" s="10">
        <v>1007.1</v>
      </c>
      <c r="J138" s="11">
        <v>5600</v>
      </c>
      <c r="K138" s="9" t="s">
        <v>221</v>
      </c>
    </row>
    <row r="139" spans="1:11" ht="13.5" customHeight="1" x14ac:dyDescent="0.25">
      <c r="A139" s="12" t="s">
        <v>226</v>
      </c>
      <c r="B139" s="12">
        <v>2024</v>
      </c>
      <c r="C139" s="14" t="s">
        <v>218</v>
      </c>
      <c r="D139" s="14" t="s">
        <v>219</v>
      </c>
      <c r="E139" s="12" t="s">
        <v>220</v>
      </c>
      <c r="F139" s="14" t="s">
        <v>70</v>
      </c>
      <c r="G139" s="14" t="s">
        <v>71</v>
      </c>
      <c r="H139" s="15">
        <v>6440</v>
      </c>
      <c r="I139" s="15">
        <v>1073.3</v>
      </c>
      <c r="J139" s="16">
        <v>6000</v>
      </c>
      <c r="K139" s="14" t="s">
        <v>221</v>
      </c>
    </row>
    <row r="140" spans="1:11" ht="13.5" customHeight="1" x14ac:dyDescent="0.25">
      <c r="A140" s="7" t="s">
        <v>227</v>
      </c>
      <c r="B140" s="7">
        <v>2019</v>
      </c>
      <c r="C140" s="9" t="s">
        <v>218</v>
      </c>
      <c r="D140" s="9" t="s">
        <v>219</v>
      </c>
      <c r="E140" s="7" t="s">
        <v>220</v>
      </c>
      <c r="F140" s="9" t="s">
        <v>185</v>
      </c>
      <c r="G140" s="9" t="s">
        <v>94</v>
      </c>
      <c r="H140" s="10">
        <v>1940</v>
      </c>
      <c r="I140" s="10">
        <v>373.1</v>
      </c>
      <c r="J140" s="11">
        <v>5200</v>
      </c>
      <c r="K140" s="9" t="s">
        <v>221</v>
      </c>
    </row>
    <row r="141" spans="1:11" ht="13.5" customHeight="1" x14ac:dyDescent="0.25">
      <c r="A141" s="12" t="s">
        <v>228</v>
      </c>
      <c r="B141" s="12">
        <v>2020</v>
      </c>
      <c r="C141" s="14" t="s">
        <v>218</v>
      </c>
      <c r="D141" s="14" t="s">
        <v>219</v>
      </c>
      <c r="E141" s="12" t="s">
        <v>220</v>
      </c>
      <c r="F141" s="14" t="s">
        <v>185</v>
      </c>
      <c r="G141" s="14" t="s">
        <v>94</v>
      </c>
      <c r="H141" s="15">
        <v>1640</v>
      </c>
      <c r="I141" s="15">
        <v>334.7</v>
      </c>
      <c r="J141" s="16">
        <v>4900</v>
      </c>
      <c r="K141" s="14" t="s">
        <v>221</v>
      </c>
    </row>
    <row r="142" spans="1:11" ht="13.5" customHeight="1" x14ac:dyDescent="0.25">
      <c r="A142" s="7" t="s">
        <v>229</v>
      </c>
      <c r="B142" s="7">
        <v>2021</v>
      </c>
      <c r="C142" s="9" t="s">
        <v>218</v>
      </c>
      <c r="D142" s="9" t="s">
        <v>219</v>
      </c>
      <c r="E142" s="7" t="s">
        <v>220</v>
      </c>
      <c r="F142" s="9" t="s">
        <v>185</v>
      </c>
      <c r="G142" s="9" t="s">
        <v>94</v>
      </c>
      <c r="H142" s="10">
        <v>2140</v>
      </c>
      <c r="I142" s="10">
        <v>389.1</v>
      </c>
      <c r="J142" s="11">
        <v>5500</v>
      </c>
      <c r="K142" s="9" t="s">
        <v>221</v>
      </c>
    </row>
    <row r="143" spans="1:11" ht="13.5" customHeight="1" x14ac:dyDescent="0.25">
      <c r="A143" s="12" t="s">
        <v>230</v>
      </c>
      <c r="B143" s="12">
        <v>2022</v>
      </c>
      <c r="C143" s="14" t="s">
        <v>218</v>
      </c>
      <c r="D143" s="14" t="s">
        <v>219</v>
      </c>
      <c r="E143" s="12" t="s">
        <v>220</v>
      </c>
      <c r="F143" s="14" t="s">
        <v>185</v>
      </c>
      <c r="G143" s="14" t="s">
        <v>94</v>
      </c>
      <c r="H143" s="15">
        <v>2440</v>
      </c>
      <c r="I143" s="15">
        <v>420.7</v>
      </c>
      <c r="J143" s="16">
        <v>5800</v>
      </c>
      <c r="K143" s="14" t="s">
        <v>221</v>
      </c>
    </row>
    <row r="144" spans="1:11" ht="13.5" customHeight="1" x14ac:dyDescent="0.25">
      <c r="A144" s="7" t="s">
        <v>231</v>
      </c>
      <c r="B144" s="7">
        <v>2023</v>
      </c>
      <c r="C144" s="9" t="s">
        <v>218</v>
      </c>
      <c r="D144" s="9" t="s">
        <v>219</v>
      </c>
      <c r="E144" s="7" t="s">
        <v>220</v>
      </c>
      <c r="F144" s="9" t="s">
        <v>185</v>
      </c>
      <c r="G144" s="9" t="s">
        <v>94</v>
      </c>
      <c r="H144" s="10">
        <v>2240</v>
      </c>
      <c r="I144" s="10">
        <v>400</v>
      </c>
      <c r="J144" s="11">
        <v>5600</v>
      </c>
      <c r="K144" s="9" t="s">
        <v>221</v>
      </c>
    </row>
    <row r="145" spans="1:11" ht="13.5" customHeight="1" x14ac:dyDescent="0.25">
      <c r="A145" s="12" t="s">
        <v>232</v>
      </c>
      <c r="B145" s="12">
        <v>2024</v>
      </c>
      <c r="C145" s="14" t="s">
        <v>218</v>
      </c>
      <c r="D145" s="14" t="s">
        <v>219</v>
      </c>
      <c r="E145" s="12" t="s">
        <v>220</v>
      </c>
      <c r="F145" s="14" t="s">
        <v>185</v>
      </c>
      <c r="G145" s="14" t="s">
        <v>94</v>
      </c>
      <c r="H145" s="15">
        <v>2540</v>
      </c>
      <c r="I145" s="15">
        <v>423.3</v>
      </c>
      <c r="J145" s="16">
        <v>6000</v>
      </c>
      <c r="K145" s="14" t="s">
        <v>221</v>
      </c>
    </row>
    <row r="146" spans="1:11" ht="13.5" customHeight="1" x14ac:dyDescent="0.25">
      <c r="A146" s="7" t="s">
        <v>233</v>
      </c>
      <c r="B146" s="7">
        <v>2019</v>
      </c>
      <c r="C146" s="9" t="s">
        <v>218</v>
      </c>
      <c r="D146" s="9" t="s">
        <v>219</v>
      </c>
      <c r="E146" s="7" t="s">
        <v>220</v>
      </c>
      <c r="F146" s="9" t="s">
        <v>122</v>
      </c>
      <c r="G146" s="9" t="s">
        <v>71</v>
      </c>
      <c r="H146" s="10">
        <v>1640</v>
      </c>
      <c r="I146" s="10">
        <v>315.39999999999998</v>
      </c>
      <c r="J146" s="11">
        <v>5200</v>
      </c>
      <c r="K146" s="9" t="s">
        <v>221</v>
      </c>
    </row>
    <row r="147" spans="1:11" ht="13.5" customHeight="1" x14ac:dyDescent="0.25">
      <c r="A147" s="12" t="s">
        <v>234</v>
      </c>
      <c r="B147" s="12">
        <v>2020</v>
      </c>
      <c r="C147" s="14" t="s">
        <v>218</v>
      </c>
      <c r="D147" s="14" t="s">
        <v>219</v>
      </c>
      <c r="E147" s="12" t="s">
        <v>220</v>
      </c>
      <c r="F147" s="14" t="s">
        <v>122</v>
      </c>
      <c r="G147" s="14" t="s">
        <v>71</v>
      </c>
      <c r="H147" s="15">
        <v>1340</v>
      </c>
      <c r="I147" s="15">
        <v>273.5</v>
      </c>
      <c r="J147" s="16">
        <v>4900</v>
      </c>
      <c r="K147" s="14" t="s">
        <v>221</v>
      </c>
    </row>
    <row r="148" spans="1:11" ht="13.5" customHeight="1" x14ac:dyDescent="0.25">
      <c r="A148" s="7" t="s">
        <v>235</v>
      </c>
      <c r="B148" s="7">
        <v>2021</v>
      </c>
      <c r="C148" s="9" t="s">
        <v>218</v>
      </c>
      <c r="D148" s="9" t="s">
        <v>219</v>
      </c>
      <c r="E148" s="7" t="s">
        <v>220</v>
      </c>
      <c r="F148" s="9" t="s">
        <v>122</v>
      </c>
      <c r="G148" s="9" t="s">
        <v>71</v>
      </c>
      <c r="H148" s="10">
        <v>1740</v>
      </c>
      <c r="I148" s="10">
        <v>316.39999999999998</v>
      </c>
      <c r="J148" s="11">
        <v>5500</v>
      </c>
      <c r="K148" s="9" t="s">
        <v>221</v>
      </c>
    </row>
    <row r="149" spans="1:11" ht="13.5" customHeight="1" x14ac:dyDescent="0.25">
      <c r="A149" s="12" t="s">
        <v>236</v>
      </c>
      <c r="B149" s="12">
        <v>2022</v>
      </c>
      <c r="C149" s="14" t="s">
        <v>218</v>
      </c>
      <c r="D149" s="14" t="s">
        <v>219</v>
      </c>
      <c r="E149" s="12" t="s">
        <v>220</v>
      </c>
      <c r="F149" s="14" t="s">
        <v>122</v>
      </c>
      <c r="G149" s="14" t="s">
        <v>71</v>
      </c>
      <c r="H149" s="15">
        <v>2040</v>
      </c>
      <c r="I149" s="15">
        <v>351.7</v>
      </c>
      <c r="J149" s="16">
        <v>5800</v>
      </c>
      <c r="K149" s="14" t="s">
        <v>221</v>
      </c>
    </row>
    <row r="150" spans="1:11" ht="13.5" customHeight="1" x14ac:dyDescent="0.25">
      <c r="A150" s="7" t="s">
        <v>237</v>
      </c>
      <c r="B150" s="7">
        <v>2023</v>
      </c>
      <c r="C150" s="9" t="s">
        <v>218</v>
      </c>
      <c r="D150" s="9" t="s">
        <v>219</v>
      </c>
      <c r="E150" s="7" t="s">
        <v>220</v>
      </c>
      <c r="F150" s="9" t="s">
        <v>122</v>
      </c>
      <c r="G150" s="9" t="s">
        <v>71</v>
      </c>
      <c r="H150" s="10">
        <v>1840</v>
      </c>
      <c r="I150" s="10">
        <v>328.6</v>
      </c>
      <c r="J150" s="11">
        <v>5600</v>
      </c>
      <c r="K150" s="9" t="s">
        <v>221</v>
      </c>
    </row>
    <row r="151" spans="1:11" ht="13.5" customHeight="1" x14ac:dyDescent="0.25">
      <c r="A151" s="12" t="s">
        <v>238</v>
      </c>
      <c r="B151" s="12">
        <v>2024</v>
      </c>
      <c r="C151" s="14" t="s">
        <v>218</v>
      </c>
      <c r="D151" s="14" t="s">
        <v>219</v>
      </c>
      <c r="E151" s="12" t="s">
        <v>220</v>
      </c>
      <c r="F151" s="14" t="s">
        <v>122</v>
      </c>
      <c r="G151" s="14" t="s">
        <v>71</v>
      </c>
      <c r="H151" s="15">
        <v>2140</v>
      </c>
      <c r="I151" s="15">
        <v>356.7</v>
      </c>
      <c r="J151" s="16">
        <v>6000</v>
      </c>
      <c r="K151" s="14" t="s">
        <v>221</v>
      </c>
    </row>
    <row r="152" spans="1:11" ht="13.5" customHeight="1" x14ac:dyDescent="0.25">
      <c r="A152" s="7" t="s">
        <v>239</v>
      </c>
      <c r="B152" s="7">
        <v>2019</v>
      </c>
      <c r="C152" s="9" t="s">
        <v>218</v>
      </c>
      <c r="D152" s="9" t="s">
        <v>219</v>
      </c>
      <c r="E152" s="7" t="s">
        <v>220</v>
      </c>
      <c r="F152" s="9" t="s">
        <v>115</v>
      </c>
      <c r="G152" s="9" t="s">
        <v>71</v>
      </c>
      <c r="H152" s="10">
        <v>1440</v>
      </c>
      <c r="I152" s="10">
        <v>276.89999999999998</v>
      </c>
      <c r="J152" s="11">
        <v>5200</v>
      </c>
      <c r="K152" s="9" t="s">
        <v>221</v>
      </c>
    </row>
    <row r="153" spans="1:11" ht="13.5" customHeight="1" x14ac:dyDescent="0.25">
      <c r="A153" s="12" t="s">
        <v>240</v>
      </c>
      <c r="B153" s="12">
        <v>2020</v>
      </c>
      <c r="C153" s="14" t="s">
        <v>218</v>
      </c>
      <c r="D153" s="14" t="s">
        <v>219</v>
      </c>
      <c r="E153" s="12" t="s">
        <v>220</v>
      </c>
      <c r="F153" s="14" t="s">
        <v>115</v>
      </c>
      <c r="G153" s="14" t="s">
        <v>71</v>
      </c>
      <c r="H153" s="15">
        <v>1140</v>
      </c>
      <c r="I153" s="15">
        <v>232.7</v>
      </c>
      <c r="J153" s="16">
        <v>4900</v>
      </c>
      <c r="K153" s="14" t="s">
        <v>221</v>
      </c>
    </row>
    <row r="154" spans="1:11" ht="13.5" customHeight="1" x14ac:dyDescent="0.25">
      <c r="A154" s="7" t="s">
        <v>241</v>
      </c>
      <c r="B154" s="7">
        <v>2021</v>
      </c>
      <c r="C154" s="9" t="s">
        <v>218</v>
      </c>
      <c r="D154" s="9" t="s">
        <v>219</v>
      </c>
      <c r="E154" s="7" t="s">
        <v>220</v>
      </c>
      <c r="F154" s="9" t="s">
        <v>115</v>
      </c>
      <c r="G154" s="9" t="s">
        <v>71</v>
      </c>
      <c r="H154" s="10">
        <v>1540</v>
      </c>
      <c r="I154" s="10">
        <v>280</v>
      </c>
      <c r="J154" s="11">
        <v>5500</v>
      </c>
      <c r="K154" s="9" t="s">
        <v>221</v>
      </c>
    </row>
    <row r="155" spans="1:11" ht="13.5" customHeight="1" x14ac:dyDescent="0.25">
      <c r="A155" s="12" t="s">
        <v>242</v>
      </c>
      <c r="B155" s="12">
        <v>2022</v>
      </c>
      <c r="C155" s="14" t="s">
        <v>218</v>
      </c>
      <c r="D155" s="14" t="s">
        <v>219</v>
      </c>
      <c r="E155" s="12" t="s">
        <v>220</v>
      </c>
      <c r="F155" s="14" t="s">
        <v>115</v>
      </c>
      <c r="G155" s="14" t="s">
        <v>71</v>
      </c>
      <c r="H155" s="15">
        <v>1740</v>
      </c>
      <c r="I155" s="15">
        <v>300</v>
      </c>
      <c r="J155" s="16">
        <v>5800</v>
      </c>
      <c r="K155" s="14" t="s">
        <v>221</v>
      </c>
    </row>
    <row r="156" spans="1:11" ht="13.5" customHeight="1" x14ac:dyDescent="0.25">
      <c r="A156" s="7" t="s">
        <v>243</v>
      </c>
      <c r="B156" s="7">
        <v>2023</v>
      </c>
      <c r="C156" s="9" t="s">
        <v>218</v>
      </c>
      <c r="D156" s="9" t="s">
        <v>219</v>
      </c>
      <c r="E156" s="7" t="s">
        <v>220</v>
      </c>
      <c r="F156" s="9" t="s">
        <v>115</v>
      </c>
      <c r="G156" s="9" t="s">
        <v>71</v>
      </c>
      <c r="H156" s="10">
        <v>1640</v>
      </c>
      <c r="I156" s="10">
        <v>292.89999999999998</v>
      </c>
      <c r="J156" s="11">
        <v>5600</v>
      </c>
      <c r="K156" s="9" t="s">
        <v>221</v>
      </c>
    </row>
    <row r="157" spans="1:11" ht="13.5" customHeight="1" x14ac:dyDescent="0.25">
      <c r="A157" s="12" t="s">
        <v>244</v>
      </c>
      <c r="B157" s="12">
        <v>2024</v>
      </c>
      <c r="C157" s="14" t="s">
        <v>218</v>
      </c>
      <c r="D157" s="14" t="s">
        <v>219</v>
      </c>
      <c r="E157" s="12" t="s">
        <v>220</v>
      </c>
      <c r="F157" s="14" t="s">
        <v>115</v>
      </c>
      <c r="G157" s="14" t="s">
        <v>71</v>
      </c>
      <c r="H157" s="15">
        <v>1840</v>
      </c>
      <c r="I157" s="15">
        <v>306.7</v>
      </c>
      <c r="J157" s="16">
        <v>6000</v>
      </c>
      <c r="K157" s="14" t="s">
        <v>221</v>
      </c>
    </row>
    <row r="158" spans="1:11" ht="13.5" customHeight="1" x14ac:dyDescent="0.25">
      <c r="A158" s="7" t="s">
        <v>245</v>
      </c>
      <c r="B158" s="7">
        <v>2019</v>
      </c>
      <c r="C158" s="9" t="s">
        <v>218</v>
      </c>
      <c r="D158" s="9" t="s">
        <v>219</v>
      </c>
      <c r="E158" s="7" t="s">
        <v>220</v>
      </c>
      <c r="F158" s="9" t="s">
        <v>164</v>
      </c>
      <c r="G158" s="9" t="s">
        <v>165</v>
      </c>
      <c r="H158" s="10">
        <v>920</v>
      </c>
      <c r="I158" s="10">
        <v>176.9</v>
      </c>
      <c r="J158" s="11">
        <v>5200</v>
      </c>
      <c r="K158" s="9" t="s">
        <v>221</v>
      </c>
    </row>
    <row r="159" spans="1:11" ht="13.5" customHeight="1" x14ac:dyDescent="0.25">
      <c r="A159" s="12" t="s">
        <v>246</v>
      </c>
      <c r="B159" s="12">
        <v>2020</v>
      </c>
      <c r="C159" s="14" t="s">
        <v>218</v>
      </c>
      <c r="D159" s="14" t="s">
        <v>219</v>
      </c>
      <c r="E159" s="12" t="s">
        <v>220</v>
      </c>
      <c r="F159" s="14" t="s">
        <v>164</v>
      </c>
      <c r="G159" s="14" t="s">
        <v>165</v>
      </c>
      <c r="H159" s="15">
        <v>760</v>
      </c>
      <c r="I159" s="15">
        <v>155.1</v>
      </c>
      <c r="J159" s="16">
        <v>4900</v>
      </c>
      <c r="K159" s="14" t="s">
        <v>221</v>
      </c>
    </row>
    <row r="160" spans="1:11" ht="13.5" customHeight="1" x14ac:dyDescent="0.25">
      <c r="A160" s="7" t="s">
        <v>247</v>
      </c>
      <c r="B160" s="7">
        <v>2021</v>
      </c>
      <c r="C160" s="9" t="s">
        <v>218</v>
      </c>
      <c r="D160" s="9" t="s">
        <v>219</v>
      </c>
      <c r="E160" s="7" t="s">
        <v>220</v>
      </c>
      <c r="F160" s="9" t="s">
        <v>164</v>
      </c>
      <c r="G160" s="9" t="s">
        <v>165</v>
      </c>
      <c r="H160" s="10">
        <v>1020</v>
      </c>
      <c r="I160" s="10">
        <v>185.5</v>
      </c>
      <c r="J160" s="11">
        <v>5500</v>
      </c>
      <c r="K160" s="9" t="s">
        <v>221</v>
      </c>
    </row>
    <row r="161" spans="1:11" ht="13.5" customHeight="1" x14ac:dyDescent="0.25">
      <c r="A161" s="12" t="s">
        <v>248</v>
      </c>
      <c r="B161" s="12">
        <v>2022</v>
      </c>
      <c r="C161" s="14" t="s">
        <v>218</v>
      </c>
      <c r="D161" s="14" t="s">
        <v>219</v>
      </c>
      <c r="E161" s="12" t="s">
        <v>220</v>
      </c>
      <c r="F161" s="14" t="s">
        <v>164</v>
      </c>
      <c r="G161" s="14" t="s">
        <v>165</v>
      </c>
      <c r="H161" s="15">
        <v>1120</v>
      </c>
      <c r="I161" s="15">
        <v>193.1</v>
      </c>
      <c r="J161" s="16">
        <v>5800</v>
      </c>
      <c r="K161" s="14" t="s">
        <v>221</v>
      </c>
    </row>
    <row r="162" spans="1:11" ht="13.5" customHeight="1" x14ac:dyDescent="0.25">
      <c r="A162" s="7" t="s">
        <v>249</v>
      </c>
      <c r="B162" s="7">
        <v>2023</v>
      </c>
      <c r="C162" s="9" t="s">
        <v>218</v>
      </c>
      <c r="D162" s="9" t="s">
        <v>219</v>
      </c>
      <c r="E162" s="7" t="s">
        <v>220</v>
      </c>
      <c r="F162" s="9" t="s">
        <v>164</v>
      </c>
      <c r="G162" s="9" t="s">
        <v>165</v>
      </c>
      <c r="H162" s="10">
        <v>1060</v>
      </c>
      <c r="I162" s="10">
        <v>189.3</v>
      </c>
      <c r="J162" s="11">
        <v>5600</v>
      </c>
      <c r="K162" s="9" t="s">
        <v>221</v>
      </c>
    </row>
    <row r="163" spans="1:11" ht="13.5" customHeight="1" x14ac:dyDescent="0.25">
      <c r="A163" s="12" t="s">
        <v>250</v>
      </c>
      <c r="B163" s="12">
        <v>2024</v>
      </c>
      <c r="C163" s="14" t="s">
        <v>218</v>
      </c>
      <c r="D163" s="14" t="s">
        <v>219</v>
      </c>
      <c r="E163" s="12" t="s">
        <v>220</v>
      </c>
      <c r="F163" s="14" t="s">
        <v>164</v>
      </c>
      <c r="G163" s="14" t="s">
        <v>165</v>
      </c>
      <c r="H163" s="15">
        <v>1220</v>
      </c>
      <c r="I163" s="15">
        <v>203.3</v>
      </c>
      <c r="J163" s="16">
        <v>6000</v>
      </c>
      <c r="K163" s="14" t="s">
        <v>221</v>
      </c>
    </row>
    <row r="164" spans="1:11" ht="13.5" customHeight="1" x14ac:dyDescent="0.25">
      <c r="A164" s="7" t="s">
        <v>251</v>
      </c>
      <c r="B164" s="7">
        <v>2019</v>
      </c>
      <c r="C164" s="9" t="s">
        <v>218</v>
      </c>
      <c r="D164" s="9" t="s">
        <v>252</v>
      </c>
      <c r="E164" s="7" t="s">
        <v>253</v>
      </c>
      <c r="F164" s="9" t="s">
        <v>70</v>
      </c>
      <c r="G164" s="9" t="s">
        <v>71</v>
      </c>
      <c r="H164" s="10">
        <v>5540</v>
      </c>
      <c r="I164" s="10">
        <v>1731.2</v>
      </c>
      <c r="J164" s="11">
        <v>3200</v>
      </c>
      <c r="K164" s="9" t="s">
        <v>63</v>
      </c>
    </row>
    <row r="165" spans="1:11" ht="13.5" customHeight="1" x14ac:dyDescent="0.25">
      <c r="A165" s="12" t="s">
        <v>254</v>
      </c>
      <c r="B165" s="12">
        <v>2020</v>
      </c>
      <c r="C165" s="14" t="s">
        <v>218</v>
      </c>
      <c r="D165" s="14" t="s">
        <v>252</v>
      </c>
      <c r="E165" s="12" t="s">
        <v>253</v>
      </c>
      <c r="F165" s="14" t="s">
        <v>70</v>
      </c>
      <c r="G165" s="14" t="s">
        <v>71</v>
      </c>
      <c r="H165" s="15">
        <v>4240</v>
      </c>
      <c r="I165" s="15">
        <v>1413.3</v>
      </c>
      <c r="J165" s="16">
        <v>3000</v>
      </c>
      <c r="K165" s="14" t="s">
        <v>63</v>
      </c>
    </row>
    <row r="166" spans="1:11" ht="13.5" customHeight="1" x14ac:dyDescent="0.25">
      <c r="A166" s="7" t="s">
        <v>255</v>
      </c>
      <c r="B166" s="7">
        <v>2021</v>
      </c>
      <c r="C166" s="9" t="s">
        <v>218</v>
      </c>
      <c r="D166" s="9" t="s">
        <v>252</v>
      </c>
      <c r="E166" s="7" t="s">
        <v>253</v>
      </c>
      <c r="F166" s="9" t="s">
        <v>70</v>
      </c>
      <c r="G166" s="9" t="s">
        <v>71</v>
      </c>
      <c r="H166" s="10">
        <v>5840</v>
      </c>
      <c r="I166" s="10">
        <v>1769.7</v>
      </c>
      <c r="J166" s="11">
        <v>3300</v>
      </c>
      <c r="K166" s="9" t="s">
        <v>63</v>
      </c>
    </row>
    <row r="167" spans="1:11" ht="13.5" customHeight="1" x14ac:dyDescent="0.25">
      <c r="A167" s="12" t="s">
        <v>256</v>
      </c>
      <c r="B167" s="12">
        <v>2022</v>
      </c>
      <c r="C167" s="14" t="s">
        <v>218</v>
      </c>
      <c r="D167" s="14" t="s">
        <v>252</v>
      </c>
      <c r="E167" s="12" t="s">
        <v>253</v>
      </c>
      <c r="F167" s="14" t="s">
        <v>70</v>
      </c>
      <c r="G167" s="14" t="s">
        <v>71</v>
      </c>
      <c r="H167" s="15">
        <v>7240</v>
      </c>
      <c r="I167" s="15">
        <v>2011.1</v>
      </c>
      <c r="J167" s="16">
        <v>3600</v>
      </c>
      <c r="K167" s="14" t="s">
        <v>63</v>
      </c>
    </row>
    <row r="168" spans="1:11" ht="13.5" customHeight="1" x14ac:dyDescent="0.25">
      <c r="A168" s="7" t="s">
        <v>257</v>
      </c>
      <c r="B168" s="7">
        <v>2023</v>
      </c>
      <c r="C168" s="9" t="s">
        <v>218</v>
      </c>
      <c r="D168" s="9" t="s">
        <v>252</v>
      </c>
      <c r="E168" s="7" t="s">
        <v>253</v>
      </c>
      <c r="F168" s="9" t="s">
        <v>70</v>
      </c>
      <c r="G168" s="9" t="s">
        <v>71</v>
      </c>
      <c r="H168" s="10">
        <v>6540</v>
      </c>
      <c r="I168" s="10">
        <v>1868.6</v>
      </c>
      <c r="J168" s="11">
        <v>3500</v>
      </c>
      <c r="K168" s="9" t="s">
        <v>63</v>
      </c>
    </row>
    <row r="169" spans="1:11" ht="13.5" customHeight="1" x14ac:dyDescent="0.25">
      <c r="A169" s="12" t="s">
        <v>258</v>
      </c>
      <c r="B169" s="12">
        <v>2024</v>
      </c>
      <c r="C169" s="14" t="s">
        <v>218</v>
      </c>
      <c r="D169" s="14" t="s">
        <v>252</v>
      </c>
      <c r="E169" s="12" t="s">
        <v>253</v>
      </c>
      <c r="F169" s="14" t="s">
        <v>70</v>
      </c>
      <c r="G169" s="14" t="s">
        <v>71</v>
      </c>
      <c r="H169" s="15">
        <v>7340</v>
      </c>
      <c r="I169" s="15">
        <v>1983.8</v>
      </c>
      <c r="J169" s="16">
        <v>3700</v>
      </c>
      <c r="K169" s="14" t="s">
        <v>63</v>
      </c>
    </row>
    <row r="170" spans="1:11" ht="13.5" customHeight="1" x14ac:dyDescent="0.25">
      <c r="A170" s="7" t="s">
        <v>259</v>
      </c>
      <c r="B170" s="7">
        <v>2019</v>
      </c>
      <c r="C170" s="9" t="s">
        <v>218</v>
      </c>
      <c r="D170" s="9" t="s">
        <v>252</v>
      </c>
      <c r="E170" s="7" t="s">
        <v>253</v>
      </c>
      <c r="F170" s="9" t="s">
        <v>115</v>
      </c>
      <c r="G170" s="9" t="s">
        <v>71</v>
      </c>
      <c r="H170" s="10">
        <v>2840</v>
      </c>
      <c r="I170" s="10">
        <v>887.5</v>
      </c>
      <c r="J170" s="11">
        <v>3200</v>
      </c>
      <c r="K170" s="9" t="s">
        <v>63</v>
      </c>
    </row>
    <row r="171" spans="1:11" ht="13.5" customHeight="1" x14ac:dyDescent="0.25">
      <c r="A171" s="12" t="s">
        <v>260</v>
      </c>
      <c r="B171" s="12">
        <v>2020</v>
      </c>
      <c r="C171" s="14" t="s">
        <v>218</v>
      </c>
      <c r="D171" s="14" t="s">
        <v>252</v>
      </c>
      <c r="E171" s="12" t="s">
        <v>253</v>
      </c>
      <c r="F171" s="14" t="s">
        <v>115</v>
      </c>
      <c r="G171" s="14" t="s">
        <v>71</v>
      </c>
      <c r="H171" s="15">
        <v>2240</v>
      </c>
      <c r="I171" s="15">
        <v>746.7</v>
      </c>
      <c r="J171" s="16">
        <v>3000</v>
      </c>
      <c r="K171" s="14" t="s">
        <v>63</v>
      </c>
    </row>
    <row r="172" spans="1:11" ht="13.5" customHeight="1" x14ac:dyDescent="0.25">
      <c r="A172" s="7" t="s">
        <v>261</v>
      </c>
      <c r="B172" s="7">
        <v>2021</v>
      </c>
      <c r="C172" s="9" t="s">
        <v>218</v>
      </c>
      <c r="D172" s="9" t="s">
        <v>252</v>
      </c>
      <c r="E172" s="7" t="s">
        <v>253</v>
      </c>
      <c r="F172" s="9" t="s">
        <v>115</v>
      </c>
      <c r="G172" s="9" t="s">
        <v>71</v>
      </c>
      <c r="H172" s="10">
        <v>2940</v>
      </c>
      <c r="I172" s="10">
        <v>890.9</v>
      </c>
      <c r="J172" s="11">
        <v>3300</v>
      </c>
      <c r="K172" s="9" t="s">
        <v>63</v>
      </c>
    </row>
    <row r="173" spans="1:11" ht="13.5" customHeight="1" x14ac:dyDescent="0.25">
      <c r="A173" s="12" t="s">
        <v>262</v>
      </c>
      <c r="B173" s="12">
        <v>2022</v>
      </c>
      <c r="C173" s="14" t="s">
        <v>218</v>
      </c>
      <c r="D173" s="14" t="s">
        <v>252</v>
      </c>
      <c r="E173" s="12" t="s">
        <v>253</v>
      </c>
      <c r="F173" s="14" t="s">
        <v>115</v>
      </c>
      <c r="G173" s="14" t="s">
        <v>71</v>
      </c>
      <c r="H173" s="15">
        <v>3640</v>
      </c>
      <c r="I173" s="15">
        <v>1011.1</v>
      </c>
      <c r="J173" s="16">
        <v>3600</v>
      </c>
      <c r="K173" s="14" t="s">
        <v>63</v>
      </c>
    </row>
    <row r="174" spans="1:11" ht="13.5" customHeight="1" x14ac:dyDescent="0.25">
      <c r="A174" s="7" t="s">
        <v>263</v>
      </c>
      <c r="B174" s="7">
        <v>2023</v>
      </c>
      <c r="C174" s="9" t="s">
        <v>218</v>
      </c>
      <c r="D174" s="9" t="s">
        <v>252</v>
      </c>
      <c r="E174" s="7" t="s">
        <v>253</v>
      </c>
      <c r="F174" s="9" t="s">
        <v>115</v>
      </c>
      <c r="G174" s="9" t="s">
        <v>71</v>
      </c>
      <c r="H174" s="10">
        <v>3240</v>
      </c>
      <c r="I174" s="10">
        <v>925.7</v>
      </c>
      <c r="J174" s="11">
        <v>3500</v>
      </c>
      <c r="K174" s="9" t="s">
        <v>63</v>
      </c>
    </row>
    <row r="175" spans="1:11" ht="13.5" customHeight="1" x14ac:dyDescent="0.25">
      <c r="A175" s="12" t="s">
        <v>264</v>
      </c>
      <c r="B175" s="12">
        <v>2024</v>
      </c>
      <c r="C175" s="14" t="s">
        <v>218</v>
      </c>
      <c r="D175" s="14" t="s">
        <v>252</v>
      </c>
      <c r="E175" s="12" t="s">
        <v>253</v>
      </c>
      <c r="F175" s="14" t="s">
        <v>115</v>
      </c>
      <c r="G175" s="14" t="s">
        <v>71</v>
      </c>
      <c r="H175" s="15">
        <v>3640</v>
      </c>
      <c r="I175" s="15">
        <v>983.8</v>
      </c>
      <c r="J175" s="16">
        <v>3700</v>
      </c>
      <c r="K175" s="14" t="s">
        <v>63</v>
      </c>
    </row>
    <row r="176" spans="1:11" ht="13.5" customHeight="1" x14ac:dyDescent="0.25">
      <c r="A176" s="7" t="s">
        <v>265</v>
      </c>
      <c r="B176" s="7">
        <v>2019</v>
      </c>
      <c r="C176" s="9" t="s">
        <v>218</v>
      </c>
      <c r="D176" s="9" t="s">
        <v>252</v>
      </c>
      <c r="E176" s="7" t="s">
        <v>253</v>
      </c>
      <c r="F176" s="9" t="s">
        <v>266</v>
      </c>
      <c r="G176" s="9" t="s">
        <v>79</v>
      </c>
      <c r="H176" s="10">
        <v>1840</v>
      </c>
      <c r="I176" s="10">
        <v>575</v>
      </c>
      <c r="J176" s="11">
        <v>3200</v>
      </c>
      <c r="K176" s="9" t="s">
        <v>63</v>
      </c>
    </row>
    <row r="177" spans="1:11" ht="13.5" customHeight="1" x14ac:dyDescent="0.25">
      <c r="A177" s="12" t="s">
        <v>267</v>
      </c>
      <c r="B177" s="12">
        <v>2020</v>
      </c>
      <c r="C177" s="14" t="s">
        <v>218</v>
      </c>
      <c r="D177" s="14" t="s">
        <v>252</v>
      </c>
      <c r="E177" s="12" t="s">
        <v>253</v>
      </c>
      <c r="F177" s="14" t="s">
        <v>266</v>
      </c>
      <c r="G177" s="14" t="s">
        <v>79</v>
      </c>
      <c r="H177" s="15">
        <v>1440</v>
      </c>
      <c r="I177" s="15">
        <v>480</v>
      </c>
      <c r="J177" s="16">
        <v>3000</v>
      </c>
      <c r="K177" s="14" t="s">
        <v>63</v>
      </c>
    </row>
    <row r="178" spans="1:11" ht="13.5" customHeight="1" x14ac:dyDescent="0.25">
      <c r="A178" s="7" t="s">
        <v>268</v>
      </c>
      <c r="B178" s="7">
        <v>2021</v>
      </c>
      <c r="C178" s="9" t="s">
        <v>218</v>
      </c>
      <c r="D178" s="9" t="s">
        <v>252</v>
      </c>
      <c r="E178" s="7" t="s">
        <v>253</v>
      </c>
      <c r="F178" s="9" t="s">
        <v>266</v>
      </c>
      <c r="G178" s="9" t="s">
        <v>79</v>
      </c>
      <c r="H178" s="10">
        <v>1940</v>
      </c>
      <c r="I178" s="10">
        <v>587.9</v>
      </c>
      <c r="J178" s="11">
        <v>3300</v>
      </c>
      <c r="K178" s="9" t="s">
        <v>63</v>
      </c>
    </row>
    <row r="179" spans="1:11" ht="13.5" customHeight="1" x14ac:dyDescent="0.25">
      <c r="A179" s="12" t="s">
        <v>269</v>
      </c>
      <c r="B179" s="12">
        <v>2022</v>
      </c>
      <c r="C179" s="14" t="s">
        <v>218</v>
      </c>
      <c r="D179" s="14" t="s">
        <v>252</v>
      </c>
      <c r="E179" s="12" t="s">
        <v>253</v>
      </c>
      <c r="F179" s="14" t="s">
        <v>266</v>
      </c>
      <c r="G179" s="14" t="s">
        <v>79</v>
      </c>
      <c r="H179" s="15">
        <v>2340</v>
      </c>
      <c r="I179" s="15">
        <v>650</v>
      </c>
      <c r="J179" s="16">
        <v>3600</v>
      </c>
      <c r="K179" s="14" t="s">
        <v>63</v>
      </c>
    </row>
    <row r="180" spans="1:11" ht="13.5" customHeight="1" x14ac:dyDescent="0.25">
      <c r="A180" s="7" t="s">
        <v>270</v>
      </c>
      <c r="B180" s="7">
        <v>2023</v>
      </c>
      <c r="C180" s="9" t="s">
        <v>218</v>
      </c>
      <c r="D180" s="9" t="s">
        <v>252</v>
      </c>
      <c r="E180" s="7" t="s">
        <v>253</v>
      </c>
      <c r="F180" s="9" t="s">
        <v>266</v>
      </c>
      <c r="G180" s="9" t="s">
        <v>79</v>
      </c>
      <c r="H180" s="10">
        <v>2140</v>
      </c>
      <c r="I180" s="10">
        <v>611.4</v>
      </c>
      <c r="J180" s="11">
        <v>3500</v>
      </c>
      <c r="K180" s="9" t="s">
        <v>63</v>
      </c>
    </row>
    <row r="181" spans="1:11" ht="13.5" customHeight="1" x14ac:dyDescent="0.25">
      <c r="A181" s="12" t="s">
        <v>271</v>
      </c>
      <c r="B181" s="12">
        <v>2024</v>
      </c>
      <c r="C181" s="14" t="s">
        <v>218</v>
      </c>
      <c r="D181" s="14" t="s">
        <v>252</v>
      </c>
      <c r="E181" s="12" t="s">
        <v>253</v>
      </c>
      <c r="F181" s="14" t="s">
        <v>266</v>
      </c>
      <c r="G181" s="14" t="s">
        <v>79</v>
      </c>
      <c r="H181" s="15">
        <v>2340</v>
      </c>
      <c r="I181" s="15">
        <v>632.4</v>
      </c>
      <c r="J181" s="16">
        <v>3700</v>
      </c>
      <c r="K181" s="14" t="s">
        <v>63</v>
      </c>
    </row>
    <row r="182" spans="1:11" ht="13.5" customHeight="1" x14ac:dyDescent="0.25">
      <c r="A182" s="7" t="s">
        <v>272</v>
      </c>
      <c r="B182" s="7">
        <v>2019</v>
      </c>
      <c r="C182" s="9" t="s">
        <v>218</v>
      </c>
      <c r="D182" s="9" t="s">
        <v>252</v>
      </c>
      <c r="E182" s="7" t="s">
        <v>253</v>
      </c>
      <c r="F182" s="9" t="s">
        <v>164</v>
      </c>
      <c r="G182" s="9" t="s">
        <v>165</v>
      </c>
      <c r="H182" s="10">
        <v>1540</v>
      </c>
      <c r="I182" s="10">
        <v>481.2</v>
      </c>
      <c r="J182" s="11">
        <v>3200</v>
      </c>
      <c r="K182" s="9" t="s">
        <v>63</v>
      </c>
    </row>
    <row r="183" spans="1:11" ht="13.5" customHeight="1" x14ac:dyDescent="0.25">
      <c r="A183" s="12" t="s">
        <v>273</v>
      </c>
      <c r="B183" s="12">
        <v>2020</v>
      </c>
      <c r="C183" s="14" t="s">
        <v>218</v>
      </c>
      <c r="D183" s="14" t="s">
        <v>252</v>
      </c>
      <c r="E183" s="12" t="s">
        <v>253</v>
      </c>
      <c r="F183" s="14" t="s">
        <v>164</v>
      </c>
      <c r="G183" s="14" t="s">
        <v>165</v>
      </c>
      <c r="H183" s="15">
        <v>1240</v>
      </c>
      <c r="I183" s="15">
        <v>413.3</v>
      </c>
      <c r="J183" s="16">
        <v>3000</v>
      </c>
      <c r="K183" s="14" t="s">
        <v>63</v>
      </c>
    </row>
    <row r="184" spans="1:11" ht="13.5" customHeight="1" x14ac:dyDescent="0.25">
      <c r="A184" s="7" t="s">
        <v>274</v>
      </c>
      <c r="B184" s="7">
        <v>2021</v>
      </c>
      <c r="C184" s="9" t="s">
        <v>218</v>
      </c>
      <c r="D184" s="9" t="s">
        <v>252</v>
      </c>
      <c r="E184" s="7" t="s">
        <v>253</v>
      </c>
      <c r="F184" s="9" t="s">
        <v>164</v>
      </c>
      <c r="G184" s="9" t="s">
        <v>165</v>
      </c>
      <c r="H184" s="10">
        <v>1640</v>
      </c>
      <c r="I184" s="10">
        <v>497</v>
      </c>
      <c r="J184" s="11">
        <v>3300</v>
      </c>
      <c r="K184" s="9" t="s">
        <v>63</v>
      </c>
    </row>
    <row r="185" spans="1:11" ht="13.5" customHeight="1" x14ac:dyDescent="0.25">
      <c r="A185" s="12" t="s">
        <v>275</v>
      </c>
      <c r="B185" s="12">
        <v>2022</v>
      </c>
      <c r="C185" s="14" t="s">
        <v>218</v>
      </c>
      <c r="D185" s="14" t="s">
        <v>252</v>
      </c>
      <c r="E185" s="12" t="s">
        <v>253</v>
      </c>
      <c r="F185" s="14" t="s">
        <v>164</v>
      </c>
      <c r="G185" s="14" t="s">
        <v>165</v>
      </c>
      <c r="H185" s="15">
        <v>1940</v>
      </c>
      <c r="I185" s="15">
        <v>538.9</v>
      </c>
      <c r="J185" s="16">
        <v>3600</v>
      </c>
      <c r="K185" s="14" t="s">
        <v>63</v>
      </c>
    </row>
    <row r="186" spans="1:11" ht="13.5" customHeight="1" x14ac:dyDescent="0.25">
      <c r="A186" s="7" t="s">
        <v>276</v>
      </c>
      <c r="B186" s="7">
        <v>2023</v>
      </c>
      <c r="C186" s="9" t="s">
        <v>218</v>
      </c>
      <c r="D186" s="9" t="s">
        <v>252</v>
      </c>
      <c r="E186" s="7" t="s">
        <v>253</v>
      </c>
      <c r="F186" s="9" t="s">
        <v>164</v>
      </c>
      <c r="G186" s="9" t="s">
        <v>165</v>
      </c>
      <c r="H186" s="10">
        <v>1740</v>
      </c>
      <c r="I186" s="10">
        <v>497.1</v>
      </c>
      <c r="J186" s="11">
        <v>3500</v>
      </c>
      <c r="K186" s="9" t="s">
        <v>63</v>
      </c>
    </row>
    <row r="187" spans="1:11" ht="13.5" customHeight="1" x14ac:dyDescent="0.25">
      <c r="A187" s="12" t="s">
        <v>277</v>
      </c>
      <c r="B187" s="12">
        <v>2024</v>
      </c>
      <c r="C187" s="14" t="s">
        <v>218</v>
      </c>
      <c r="D187" s="14" t="s">
        <v>252</v>
      </c>
      <c r="E187" s="12" t="s">
        <v>253</v>
      </c>
      <c r="F187" s="14" t="s">
        <v>164</v>
      </c>
      <c r="G187" s="14" t="s">
        <v>165</v>
      </c>
      <c r="H187" s="15">
        <v>1940</v>
      </c>
      <c r="I187" s="15">
        <v>524.29999999999995</v>
      </c>
      <c r="J187" s="16">
        <v>3700</v>
      </c>
      <c r="K187" s="14" t="s">
        <v>63</v>
      </c>
    </row>
    <row r="188" spans="1:11" ht="13.5" customHeight="1" x14ac:dyDescent="0.25">
      <c r="A188" s="7" t="s">
        <v>278</v>
      </c>
      <c r="B188" s="7">
        <v>2019</v>
      </c>
      <c r="C188" s="9" t="s">
        <v>218</v>
      </c>
      <c r="D188" s="9" t="s">
        <v>252</v>
      </c>
      <c r="E188" s="7" t="s">
        <v>253</v>
      </c>
      <c r="F188" s="9" t="s">
        <v>185</v>
      </c>
      <c r="G188" s="9" t="s">
        <v>94</v>
      </c>
      <c r="H188" s="10">
        <v>1140</v>
      </c>
      <c r="I188" s="10">
        <v>356.2</v>
      </c>
      <c r="J188" s="11">
        <v>3200</v>
      </c>
      <c r="K188" s="9" t="s">
        <v>63</v>
      </c>
    </row>
    <row r="189" spans="1:11" ht="13.5" customHeight="1" x14ac:dyDescent="0.25">
      <c r="A189" s="12" t="s">
        <v>279</v>
      </c>
      <c r="B189" s="12">
        <v>2020</v>
      </c>
      <c r="C189" s="14" t="s">
        <v>218</v>
      </c>
      <c r="D189" s="14" t="s">
        <v>252</v>
      </c>
      <c r="E189" s="12" t="s">
        <v>253</v>
      </c>
      <c r="F189" s="14" t="s">
        <v>185</v>
      </c>
      <c r="G189" s="14" t="s">
        <v>94</v>
      </c>
      <c r="H189" s="15">
        <v>940</v>
      </c>
      <c r="I189" s="15">
        <v>313.3</v>
      </c>
      <c r="J189" s="16">
        <v>3000</v>
      </c>
      <c r="K189" s="14" t="s">
        <v>63</v>
      </c>
    </row>
    <row r="190" spans="1:11" ht="13.5" customHeight="1" x14ac:dyDescent="0.25">
      <c r="A190" s="7" t="s">
        <v>280</v>
      </c>
      <c r="B190" s="7">
        <v>2021</v>
      </c>
      <c r="C190" s="9" t="s">
        <v>218</v>
      </c>
      <c r="D190" s="9" t="s">
        <v>252</v>
      </c>
      <c r="E190" s="7" t="s">
        <v>253</v>
      </c>
      <c r="F190" s="9" t="s">
        <v>185</v>
      </c>
      <c r="G190" s="9" t="s">
        <v>94</v>
      </c>
      <c r="H190" s="10">
        <v>1240</v>
      </c>
      <c r="I190" s="10">
        <v>375.8</v>
      </c>
      <c r="J190" s="11">
        <v>3300</v>
      </c>
      <c r="K190" s="9" t="s">
        <v>63</v>
      </c>
    </row>
    <row r="191" spans="1:11" ht="13.5" customHeight="1" x14ac:dyDescent="0.25">
      <c r="A191" s="12" t="s">
        <v>281</v>
      </c>
      <c r="B191" s="12">
        <v>2022</v>
      </c>
      <c r="C191" s="14" t="s">
        <v>218</v>
      </c>
      <c r="D191" s="14" t="s">
        <v>252</v>
      </c>
      <c r="E191" s="12" t="s">
        <v>253</v>
      </c>
      <c r="F191" s="14" t="s">
        <v>185</v>
      </c>
      <c r="G191" s="14" t="s">
        <v>94</v>
      </c>
      <c r="H191" s="15">
        <v>1440</v>
      </c>
      <c r="I191" s="15">
        <v>400</v>
      </c>
      <c r="J191" s="16">
        <v>3600</v>
      </c>
      <c r="K191" s="14" t="s">
        <v>63</v>
      </c>
    </row>
    <row r="192" spans="1:11" ht="13.5" customHeight="1" x14ac:dyDescent="0.25">
      <c r="A192" s="7" t="s">
        <v>282</v>
      </c>
      <c r="B192" s="7">
        <v>2023</v>
      </c>
      <c r="C192" s="9" t="s">
        <v>218</v>
      </c>
      <c r="D192" s="9" t="s">
        <v>252</v>
      </c>
      <c r="E192" s="7" t="s">
        <v>253</v>
      </c>
      <c r="F192" s="9" t="s">
        <v>185</v>
      </c>
      <c r="G192" s="9" t="s">
        <v>94</v>
      </c>
      <c r="H192" s="10">
        <v>1340</v>
      </c>
      <c r="I192" s="10">
        <v>382.9</v>
      </c>
      <c r="J192" s="11">
        <v>3500</v>
      </c>
      <c r="K192" s="9" t="s">
        <v>63</v>
      </c>
    </row>
    <row r="193" spans="1:11" ht="13.5" customHeight="1" x14ac:dyDescent="0.25">
      <c r="A193" s="12" t="s">
        <v>283</v>
      </c>
      <c r="B193" s="12">
        <v>2024</v>
      </c>
      <c r="C193" s="14" t="s">
        <v>218</v>
      </c>
      <c r="D193" s="14" t="s">
        <v>252</v>
      </c>
      <c r="E193" s="12" t="s">
        <v>253</v>
      </c>
      <c r="F193" s="14" t="s">
        <v>185</v>
      </c>
      <c r="G193" s="14" t="s">
        <v>94</v>
      </c>
      <c r="H193" s="15">
        <v>1440</v>
      </c>
      <c r="I193" s="15">
        <v>389.2</v>
      </c>
      <c r="J193" s="16">
        <v>3700</v>
      </c>
      <c r="K193" s="14" t="s">
        <v>63</v>
      </c>
    </row>
    <row r="194" spans="1:11" ht="13.5" customHeight="1" x14ac:dyDescent="0.25">
      <c r="A194" s="7" t="s">
        <v>284</v>
      </c>
      <c r="B194" s="7">
        <v>2019</v>
      </c>
      <c r="C194" s="9" t="s">
        <v>218</v>
      </c>
      <c r="D194" s="9" t="s">
        <v>285</v>
      </c>
      <c r="E194" s="7" t="s">
        <v>102</v>
      </c>
      <c r="F194" s="9" t="s">
        <v>185</v>
      </c>
      <c r="G194" s="9" t="s">
        <v>94</v>
      </c>
      <c r="H194" s="10">
        <v>3540</v>
      </c>
      <c r="I194" s="10">
        <v>6103.4</v>
      </c>
      <c r="J194" s="11">
        <v>580</v>
      </c>
      <c r="K194" s="9" t="s">
        <v>63</v>
      </c>
    </row>
    <row r="195" spans="1:11" ht="13.5" customHeight="1" x14ac:dyDescent="0.25">
      <c r="A195" s="12" t="s">
        <v>286</v>
      </c>
      <c r="B195" s="12">
        <v>2020</v>
      </c>
      <c r="C195" s="14" t="s">
        <v>218</v>
      </c>
      <c r="D195" s="14" t="s">
        <v>285</v>
      </c>
      <c r="E195" s="12" t="s">
        <v>102</v>
      </c>
      <c r="F195" s="14" t="s">
        <v>185</v>
      </c>
      <c r="G195" s="14" t="s">
        <v>94</v>
      </c>
      <c r="H195" s="15">
        <v>2440</v>
      </c>
      <c r="I195" s="15">
        <v>6256.4</v>
      </c>
      <c r="J195" s="16">
        <v>390</v>
      </c>
      <c r="K195" s="14" t="s">
        <v>63</v>
      </c>
    </row>
    <row r="196" spans="1:11" ht="13.5" customHeight="1" x14ac:dyDescent="0.25">
      <c r="A196" s="7" t="s">
        <v>287</v>
      </c>
      <c r="B196" s="7">
        <v>2021</v>
      </c>
      <c r="C196" s="9" t="s">
        <v>218</v>
      </c>
      <c r="D196" s="9" t="s">
        <v>285</v>
      </c>
      <c r="E196" s="7" t="s">
        <v>102</v>
      </c>
      <c r="F196" s="9" t="s">
        <v>185</v>
      </c>
      <c r="G196" s="9" t="s">
        <v>94</v>
      </c>
      <c r="H196" s="10">
        <v>3240</v>
      </c>
      <c r="I196" s="10">
        <v>4909.1000000000004</v>
      </c>
      <c r="J196" s="11">
        <v>660</v>
      </c>
      <c r="K196" s="9" t="s">
        <v>63</v>
      </c>
    </row>
    <row r="197" spans="1:11" ht="13.5" customHeight="1" x14ac:dyDescent="0.25">
      <c r="A197" s="12" t="s">
        <v>288</v>
      </c>
      <c r="B197" s="12">
        <v>2022</v>
      </c>
      <c r="C197" s="14" t="s">
        <v>218</v>
      </c>
      <c r="D197" s="14" t="s">
        <v>285</v>
      </c>
      <c r="E197" s="12" t="s">
        <v>102</v>
      </c>
      <c r="F197" s="14" t="s">
        <v>185</v>
      </c>
      <c r="G197" s="14" t="s">
        <v>94</v>
      </c>
      <c r="H197" s="15">
        <v>4840</v>
      </c>
      <c r="I197" s="15">
        <v>5500</v>
      </c>
      <c r="J197" s="16">
        <v>880</v>
      </c>
      <c r="K197" s="14" t="s">
        <v>63</v>
      </c>
    </row>
    <row r="198" spans="1:11" ht="13.5" customHeight="1" x14ac:dyDescent="0.25">
      <c r="A198" s="7" t="s">
        <v>289</v>
      </c>
      <c r="B198" s="7">
        <v>2023</v>
      </c>
      <c r="C198" s="9" t="s">
        <v>218</v>
      </c>
      <c r="D198" s="9" t="s">
        <v>285</v>
      </c>
      <c r="E198" s="7" t="s">
        <v>102</v>
      </c>
      <c r="F198" s="9" t="s">
        <v>185</v>
      </c>
      <c r="G198" s="9" t="s">
        <v>94</v>
      </c>
      <c r="H198" s="10">
        <v>4140</v>
      </c>
      <c r="I198" s="10">
        <v>5307.7</v>
      </c>
      <c r="J198" s="11">
        <v>780</v>
      </c>
      <c r="K198" s="9" t="s">
        <v>63</v>
      </c>
    </row>
    <row r="199" spans="1:11" ht="13.5" customHeight="1" x14ac:dyDescent="0.25">
      <c r="A199" s="12" t="s">
        <v>290</v>
      </c>
      <c r="B199" s="12">
        <v>2024</v>
      </c>
      <c r="C199" s="14" t="s">
        <v>218</v>
      </c>
      <c r="D199" s="14" t="s">
        <v>285</v>
      </c>
      <c r="E199" s="12" t="s">
        <v>102</v>
      </c>
      <c r="F199" s="14" t="s">
        <v>185</v>
      </c>
      <c r="G199" s="14" t="s">
        <v>94</v>
      </c>
      <c r="H199" s="15">
        <v>4440</v>
      </c>
      <c r="I199" s="15">
        <v>5842.1</v>
      </c>
      <c r="J199" s="16">
        <v>760</v>
      </c>
      <c r="K199" s="14" t="s">
        <v>63</v>
      </c>
    </row>
    <row r="200" spans="1:11" ht="13.5" customHeight="1" x14ac:dyDescent="0.25">
      <c r="A200" s="7" t="s">
        <v>291</v>
      </c>
      <c r="B200" s="7">
        <v>2019</v>
      </c>
      <c r="C200" s="9" t="s">
        <v>218</v>
      </c>
      <c r="D200" s="9" t="s">
        <v>285</v>
      </c>
      <c r="E200" s="7" t="s">
        <v>102</v>
      </c>
      <c r="F200" s="9" t="s">
        <v>93</v>
      </c>
      <c r="G200" s="9" t="s">
        <v>94</v>
      </c>
      <c r="H200" s="10">
        <v>1840</v>
      </c>
      <c r="I200" s="10">
        <v>3172.4</v>
      </c>
      <c r="J200" s="11">
        <v>580</v>
      </c>
      <c r="K200" s="9" t="s">
        <v>63</v>
      </c>
    </row>
    <row r="201" spans="1:11" ht="13.5" customHeight="1" x14ac:dyDescent="0.25">
      <c r="A201" s="12" t="s">
        <v>292</v>
      </c>
      <c r="B201" s="12">
        <v>2020</v>
      </c>
      <c r="C201" s="14" t="s">
        <v>218</v>
      </c>
      <c r="D201" s="14" t="s">
        <v>285</v>
      </c>
      <c r="E201" s="12" t="s">
        <v>102</v>
      </c>
      <c r="F201" s="14" t="s">
        <v>93</v>
      </c>
      <c r="G201" s="14" t="s">
        <v>94</v>
      </c>
      <c r="H201" s="15">
        <v>1240</v>
      </c>
      <c r="I201" s="15">
        <v>3179.5</v>
      </c>
      <c r="J201" s="16">
        <v>390</v>
      </c>
      <c r="K201" s="14" t="s">
        <v>63</v>
      </c>
    </row>
    <row r="202" spans="1:11" ht="13.5" customHeight="1" x14ac:dyDescent="0.25">
      <c r="A202" s="7" t="s">
        <v>293</v>
      </c>
      <c r="B202" s="7">
        <v>2021</v>
      </c>
      <c r="C202" s="9" t="s">
        <v>218</v>
      </c>
      <c r="D202" s="9" t="s">
        <v>285</v>
      </c>
      <c r="E202" s="7" t="s">
        <v>102</v>
      </c>
      <c r="F202" s="9" t="s">
        <v>93</v>
      </c>
      <c r="G202" s="9" t="s">
        <v>94</v>
      </c>
      <c r="H202" s="10">
        <v>1640</v>
      </c>
      <c r="I202" s="10">
        <v>2484.8000000000002</v>
      </c>
      <c r="J202" s="11">
        <v>660</v>
      </c>
      <c r="K202" s="9" t="s">
        <v>63</v>
      </c>
    </row>
    <row r="203" spans="1:11" ht="13.5" customHeight="1" x14ac:dyDescent="0.25">
      <c r="A203" s="12" t="s">
        <v>294</v>
      </c>
      <c r="B203" s="12">
        <v>2022</v>
      </c>
      <c r="C203" s="14" t="s">
        <v>218</v>
      </c>
      <c r="D203" s="14" t="s">
        <v>285</v>
      </c>
      <c r="E203" s="12" t="s">
        <v>102</v>
      </c>
      <c r="F203" s="14" t="s">
        <v>93</v>
      </c>
      <c r="G203" s="14" t="s">
        <v>94</v>
      </c>
      <c r="H203" s="15">
        <v>2540</v>
      </c>
      <c r="I203" s="15">
        <v>2886.4</v>
      </c>
      <c r="J203" s="16">
        <v>880</v>
      </c>
      <c r="K203" s="14" t="s">
        <v>63</v>
      </c>
    </row>
    <row r="204" spans="1:11" ht="13.5" customHeight="1" x14ac:dyDescent="0.25">
      <c r="A204" s="7" t="s">
        <v>295</v>
      </c>
      <c r="B204" s="7">
        <v>2023</v>
      </c>
      <c r="C204" s="9" t="s">
        <v>218</v>
      </c>
      <c r="D204" s="9" t="s">
        <v>285</v>
      </c>
      <c r="E204" s="7" t="s">
        <v>102</v>
      </c>
      <c r="F204" s="9" t="s">
        <v>93</v>
      </c>
      <c r="G204" s="9" t="s">
        <v>94</v>
      </c>
      <c r="H204" s="10">
        <v>2140</v>
      </c>
      <c r="I204" s="10">
        <v>2743.6</v>
      </c>
      <c r="J204" s="11">
        <v>780</v>
      </c>
      <c r="K204" s="9" t="s">
        <v>63</v>
      </c>
    </row>
    <row r="205" spans="1:11" ht="13.5" customHeight="1" x14ac:dyDescent="0.25">
      <c r="A205" s="12" t="s">
        <v>296</v>
      </c>
      <c r="B205" s="12">
        <v>2024</v>
      </c>
      <c r="C205" s="14" t="s">
        <v>218</v>
      </c>
      <c r="D205" s="14" t="s">
        <v>285</v>
      </c>
      <c r="E205" s="12" t="s">
        <v>102</v>
      </c>
      <c r="F205" s="14" t="s">
        <v>93</v>
      </c>
      <c r="G205" s="14" t="s">
        <v>94</v>
      </c>
      <c r="H205" s="15">
        <v>2240</v>
      </c>
      <c r="I205" s="15">
        <v>2947.4</v>
      </c>
      <c r="J205" s="16">
        <v>760</v>
      </c>
      <c r="K205" s="14" t="s">
        <v>63</v>
      </c>
    </row>
    <row r="206" spans="1:11" ht="13.5" customHeight="1" x14ac:dyDescent="0.25">
      <c r="A206" s="7" t="s">
        <v>297</v>
      </c>
      <c r="B206" s="7">
        <v>2019</v>
      </c>
      <c r="C206" s="9" t="s">
        <v>218</v>
      </c>
      <c r="D206" s="9" t="s">
        <v>285</v>
      </c>
      <c r="E206" s="7" t="s">
        <v>102</v>
      </c>
      <c r="F206" s="9" t="s">
        <v>298</v>
      </c>
      <c r="G206" s="9" t="s">
        <v>299</v>
      </c>
      <c r="H206" s="10">
        <v>1440</v>
      </c>
      <c r="I206" s="10">
        <v>2482.8000000000002</v>
      </c>
      <c r="J206" s="11">
        <v>580</v>
      </c>
      <c r="K206" s="9" t="s">
        <v>63</v>
      </c>
    </row>
    <row r="207" spans="1:11" ht="13.5" customHeight="1" x14ac:dyDescent="0.25">
      <c r="A207" s="12" t="s">
        <v>300</v>
      </c>
      <c r="B207" s="12">
        <v>2020</v>
      </c>
      <c r="C207" s="14" t="s">
        <v>218</v>
      </c>
      <c r="D207" s="14" t="s">
        <v>285</v>
      </c>
      <c r="E207" s="12" t="s">
        <v>102</v>
      </c>
      <c r="F207" s="14" t="s">
        <v>298</v>
      </c>
      <c r="G207" s="14" t="s">
        <v>299</v>
      </c>
      <c r="H207" s="15">
        <v>940</v>
      </c>
      <c r="I207" s="15">
        <v>2410.3000000000002</v>
      </c>
      <c r="J207" s="16">
        <v>390</v>
      </c>
      <c r="K207" s="14" t="s">
        <v>63</v>
      </c>
    </row>
    <row r="208" spans="1:11" ht="13.5" customHeight="1" x14ac:dyDescent="0.25">
      <c r="A208" s="7" t="s">
        <v>301</v>
      </c>
      <c r="B208" s="7">
        <v>2021</v>
      </c>
      <c r="C208" s="9" t="s">
        <v>218</v>
      </c>
      <c r="D208" s="9" t="s">
        <v>285</v>
      </c>
      <c r="E208" s="7" t="s">
        <v>102</v>
      </c>
      <c r="F208" s="9" t="s">
        <v>298</v>
      </c>
      <c r="G208" s="9" t="s">
        <v>299</v>
      </c>
      <c r="H208" s="10">
        <v>1240</v>
      </c>
      <c r="I208" s="10">
        <v>1878.8</v>
      </c>
      <c r="J208" s="11">
        <v>660</v>
      </c>
      <c r="K208" s="9" t="s">
        <v>63</v>
      </c>
    </row>
    <row r="209" spans="1:11" ht="13.5" customHeight="1" x14ac:dyDescent="0.25">
      <c r="A209" s="12" t="s">
        <v>302</v>
      </c>
      <c r="B209" s="12">
        <v>2022</v>
      </c>
      <c r="C209" s="14" t="s">
        <v>218</v>
      </c>
      <c r="D209" s="14" t="s">
        <v>285</v>
      </c>
      <c r="E209" s="12" t="s">
        <v>102</v>
      </c>
      <c r="F209" s="14" t="s">
        <v>298</v>
      </c>
      <c r="G209" s="14" t="s">
        <v>299</v>
      </c>
      <c r="H209" s="15">
        <v>1940</v>
      </c>
      <c r="I209" s="15">
        <v>2204.5</v>
      </c>
      <c r="J209" s="16">
        <v>880</v>
      </c>
      <c r="K209" s="14" t="s">
        <v>63</v>
      </c>
    </row>
    <row r="210" spans="1:11" ht="13.5" customHeight="1" x14ac:dyDescent="0.25">
      <c r="A210" s="7" t="s">
        <v>303</v>
      </c>
      <c r="B210" s="7">
        <v>2023</v>
      </c>
      <c r="C210" s="9" t="s">
        <v>218</v>
      </c>
      <c r="D210" s="9" t="s">
        <v>285</v>
      </c>
      <c r="E210" s="7" t="s">
        <v>102</v>
      </c>
      <c r="F210" s="9" t="s">
        <v>298</v>
      </c>
      <c r="G210" s="9" t="s">
        <v>299</v>
      </c>
      <c r="H210" s="10">
        <v>1640</v>
      </c>
      <c r="I210" s="10">
        <v>2102.6</v>
      </c>
      <c r="J210" s="11">
        <v>780</v>
      </c>
      <c r="K210" s="9" t="s">
        <v>63</v>
      </c>
    </row>
    <row r="211" spans="1:11" ht="13.5" customHeight="1" x14ac:dyDescent="0.25">
      <c r="A211" s="12" t="s">
        <v>304</v>
      </c>
      <c r="B211" s="12">
        <v>2024</v>
      </c>
      <c r="C211" s="14" t="s">
        <v>218</v>
      </c>
      <c r="D211" s="14" t="s">
        <v>285</v>
      </c>
      <c r="E211" s="12" t="s">
        <v>102</v>
      </c>
      <c r="F211" s="14" t="s">
        <v>298</v>
      </c>
      <c r="G211" s="14" t="s">
        <v>299</v>
      </c>
      <c r="H211" s="15">
        <v>1740</v>
      </c>
      <c r="I211" s="15">
        <v>2289.5</v>
      </c>
      <c r="J211" s="16">
        <v>760</v>
      </c>
      <c r="K211" s="14" t="s">
        <v>63</v>
      </c>
    </row>
    <row r="212" spans="1:11" ht="13.5" customHeight="1" x14ac:dyDescent="0.25">
      <c r="A212" s="7" t="s">
        <v>305</v>
      </c>
      <c r="B212" s="7">
        <v>2019</v>
      </c>
      <c r="C212" s="9" t="s">
        <v>218</v>
      </c>
      <c r="D212" s="9" t="s">
        <v>306</v>
      </c>
      <c r="E212" s="7" t="s">
        <v>307</v>
      </c>
      <c r="F212" s="9" t="s">
        <v>70</v>
      </c>
      <c r="G212" s="9" t="s">
        <v>71</v>
      </c>
      <c r="H212" s="10">
        <v>3240</v>
      </c>
      <c r="I212" s="10">
        <v>5586.2</v>
      </c>
      <c r="J212" s="11">
        <v>580</v>
      </c>
      <c r="K212" s="9" t="s">
        <v>63</v>
      </c>
    </row>
    <row r="213" spans="1:11" ht="13.5" customHeight="1" x14ac:dyDescent="0.25">
      <c r="A213" s="12" t="s">
        <v>308</v>
      </c>
      <c r="B213" s="12">
        <v>2020</v>
      </c>
      <c r="C213" s="14" t="s">
        <v>218</v>
      </c>
      <c r="D213" s="14" t="s">
        <v>306</v>
      </c>
      <c r="E213" s="12" t="s">
        <v>307</v>
      </c>
      <c r="F213" s="14" t="s">
        <v>70</v>
      </c>
      <c r="G213" s="14" t="s">
        <v>71</v>
      </c>
      <c r="H213" s="15">
        <v>2440</v>
      </c>
      <c r="I213" s="15">
        <v>4979.6000000000004</v>
      </c>
      <c r="J213" s="16">
        <v>490</v>
      </c>
      <c r="K213" s="14" t="s">
        <v>63</v>
      </c>
    </row>
    <row r="214" spans="1:11" ht="13.5" customHeight="1" x14ac:dyDescent="0.25">
      <c r="A214" s="7" t="s">
        <v>309</v>
      </c>
      <c r="B214" s="7">
        <v>2021</v>
      </c>
      <c r="C214" s="9" t="s">
        <v>218</v>
      </c>
      <c r="D214" s="9" t="s">
        <v>306</v>
      </c>
      <c r="E214" s="7" t="s">
        <v>307</v>
      </c>
      <c r="F214" s="9" t="s">
        <v>70</v>
      </c>
      <c r="G214" s="9" t="s">
        <v>71</v>
      </c>
      <c r="H214" s="10">
        <v>3240</v>
      </c>
      <c r="I214" s="10">
        <v>3600</v>
      </c>
      <c r="J214" s="11">
        <v>900</v>
      </c>
      <c r="K214" s="9" t="s">
        <v>63</v>
      </c>
    </row>
    <row r="215" spans="1:11" ht="13.5" customHeight="1" x14ac:dyDescent="0.25">
      <c r="A215" s="12" t="s">
        <v>310</v>
      </c>
      <c r="B215" s="12">
        <v>2022</v>
      </c>
      <c r="C215" s="14" t="s">
        <v>218</v>
      </c>
      <c r="D215" s="14" t="s">
        <v>306</v>
      </c>
      <c r="E215" s="12" t="s">
        <v>307</v>
      </c>
      <c r="F215" s="14" t="s">
        <v>70</v>
      </c>
      <c r="G215" s="14" t="s">
        <v>71</v>
      </c>
      <c r="H215" s="15">
        <v>4040</v>
      </c>
      <c r="I215" s="15">
        <v>3672.7</v>
      </c>
      <c r="J215" s="16">
        <v>1100</v>
      </c>
      <c r="K215" s="14" t="s">
        <v>63</v>
      </c>
    </row>
    <row r="216" spans="1:11" ht="13.5" customHeight="1" x14ac:dyDescent="0.25">
      <c r="A216" s="7" t="s">
        <v>311</v>
      </c>
      <c r="B216" s="7">
        <v>2023</v>
      </c>
      <c r="C216" s="9" t="s">
        <v>218</v>
      </c>
      <c r="D216" s="9" t="s">
        <v>306</v>
      </c>
      <c r="E216" s="7" t="s">
        <v>307</v>
      </c>
      <c r="F216" s="9" t="s">
        <v>70</v>
      </c>
      <c r="G216" s="9" t="s">
        <v>71</v>
      </c>
      <c r="H216" s="10">
        <v>3640</v>
      </c>
      <c r="I216" s="10">
        <v>5055.6000000000004</v>
      </c>
      <c r="J216" s="11">
        <v>720</v>
      </c>
      <c r="K216" s="9" t="s">
        <v>63</v>
      </c>
    </row>
    <row r="217" spans="1:11" ht="13.5" customHeight="1" x14ac:dyDescent="0.25">
      <c r="A217" s="12" t="s">
        <v>312</v>
      </c>
      <c r="B217" s="12">
        <v>2024</v>
      </c>
      <c r="C217" s="14" t="s">
        <v>218</v>
      </c>
      <c r="D217" s="14" t="s">
        <v>306</v>
      </c>
      <c r="E217" s="12" t="s">
        <v>307</v>
      </c>
      <c r="F217" s="14" t="s">
        <v>70</v>
      </c>
      <c r="G217" s="14" t="s">
        <v>71</v>
      </c>
      <c r="H217" s="15">
        <v>4040</v>
      </c>
      <c r="I217" s="15">
        <v>5941.2</v>
      </c>
      <c r="J217" s="16">
        <v>680</v>
      </c>
      <c r="K217" s="14" t="s">
        <v>63</v>
      </c>
    </row>
    <row r="218" spans="1:11" ht="13.5" customHeight="1" x14ac:dyDescent="0.25">
      <c r="A218" s="7" t="s">
        <v>313</v>
      </c>
      <c r="B218" s="7">
        <v>2019</v>
      </c>
      <c r="C218" s="9" t="s">
        <v>218</v>
      </c>
      <c r="D218" s="9" t="s">
        <v>306</v>
      </c>
      <c r="E218" s="7" t="s">
        <v>307</v>
      </c>
      <c r="F218" s="9" t="s">
        <v>115</v>
      </c>
      <c r="G218" s="9" t="s">
        <v>71</v>
      </c>
      <c r="H218" s="10">
        <v>1240</v>
      </c>
      <c r="I218" s="10">
        <v>2137.9</v>
      </c>
      <c r="J218" s="11">
        <v>580</v>
      </c>
      <c r="K218" s="9" t="s">
        <v>63</v>
      </c>
    </row>
    <row r="219" spans="1:11" ht="13.5" customHeight="1" x14ac:dyDescent="0.25">
      <c r="A219" s="12" t="s">
        <v>314</v>
      </c>
      <c r="B219" s="12">
        <v>2020</v>
      </c>
      <c r="C219" s="14" t="s">
        <v>218</v>
      </c>
      <c r="D219" s="14" t="s">
        <v>306</v>
      </c>
      <c r="E219" s="12" t="s">
        <v>307</v>
      </c>
      <c r="F219" s="14" t="s">
        <v>115</v>
      </c>
      <c r="G219" s="14" t="s">
        <v>71</v>
      </c>
      <c r="H219" s="15">
        <v>940</v>
      </c>
      <c r="I219" s="15">
        <v>1918.4</v>
      </c>
      <c r="J219" s="16">
        <v>490</v>
      </c>
      <c r="K219" s="14" t="s">
        <v>63</v>
      </c>
    </row>
    <row r="220" spans="1:11" ht="13.5" customHeight="1" x14ac:dyDescent="0.25">
      <c r="A220" s="7" t="s">
        <v>315</v>
      </c>
      <c r="B220" s="7">
        <v>2021</v>
      </c>
      <c r="C220" s="9" t="s">
        <v>218</v>
      </c>
      <c r="D220" s="9" t="s">
        <v>306</v>
      </c>
      <c r="E220" s="7" t="s">
        <v>307</v>
      </c>
      <c r="F220" s="9" t="s">
        <v>115</v>
      </c>
      <c r="G220" s="9" t="s">
        <v>71</v>
      </c>
      <c r="H220" s="10">
        <v>1240</v>
      </c>
      <c r="I220" s="10">
        <v>1377.8</v>
      </c>
      <c r="J220" s="11">
        <v>900</v>
      </c>
      <c r="K220" s="9" t="s">
        <v>63</v>
      </c>
    </row>
    <row r="221" spans="1:11" ht="13.5" customHeight="1" x14ac:dyDescent="0.25">
      <c r="A221" s="12" t="s">
        <v>316</v>
      </c>
      <c r="B221" s="12">
        <v>2022</v>
      </c>
      <c r="C221" s="14" t="s">
        <v>218</v>
      </c>
      <c r="D221" s="14" t="s">
        <v>306</v>
      </c>
      <c r="E221" s="12" t="s">
        <v>307</v>
      </c>
      <c r="F221" s="14" t="s">
        <v>115</v>
      </c>
      <c r="G221" s="14" t="s">
        <v>71</v>
      </c>
      <c r="H221" s="15">
        <v>1540</v>
      </c>
      <c r="I221" s="15">
        <v>1400</v>
      </c>
      <c r="J221" s="16">
        <v>1100</v>
      </c>
      <c r="K221" s="14" t="s">
        <v>63</v>
      </c>
    </row>
    <row r="222" spans="1:11" ht="13.5" customHeight="1" x14ac:dyDescent="0.25">
      <c r="A222" s="7" t="s">
        <v>317</v>
      </c>
      <c r="B222" s="7">
        <v>2023</v>
      </c>
      <c r="C222" s="9" t="s">
        <v>218</v>
      </c>
      <c r="D222" s="9" t="s">
        <v>306</v>
      </c>
      <c r="E222" s="7" t="s">
        <v>307</v>
      </c>
      <c r="F222" s="9" t="s">
        <v>115</v>
      </c>
      <c r="G222" s="9" t="s">
        <v>71</v>
      </c>
      <c r="H222" s="10">
        <v>1380</v>
      </c>
      <c r="I222" s="10">
        <v>1916.7</v>
      </c>
      <c r="J222" s="11">
        <v>720</v>
      </c>
      <c r="K222" s="9" t="s">
        <v>63</v>
      </c>
    </row>
    <row r="223" spans="1:11" ht="13.5" customHeight="1" x14ac:dyDescent="0.25">
      <c r="A223" s="12" t="s">
        <v>318</v>
      </c>
      <c r="B223" s="12">
        <v>2024</v>
      </c>
      <c r="C223" s="14" t="s">
        <v>218</v>
      </c>
      <c r="D223" s="14" t="s">
        <v>306</v>
      </c>
      <c r="E223" s="12" t="s">
        <v>307</v>
      </c>
      <c r="F223" s="14" t="s">
        <v>115</v>
      </c>
      <c r="G223" s="14" t="s">
        <v>71</v>
      </c>
      <c r="H223" s="15">
        <v>1540</v>
      </c>
      <c r="I223" s="15">
        <v>2264.6999999999998</v>
      </c>
      <c r="J223" s="16">
        <v>680</v>
      </c>
      <c r="K223" s="14" t="s">
        <v>63</v>
      </c>
    </row>
    <row r="224" spans="1:11" ht="13.5" customHeight="1" x14ac:dyDescent="0.25">
      <c r="A224" s="7" t="s">
        <v>319</v>
      </c>
      <c r="B224" s="7">
        <v>2019</v>
      </c>
      <c r="C224" s="9" t="s">
        <v>218</v>
      </c>
      <c r="D224" s="9" t="s">
        <v>306</v>
      </c>
      <c r="E224" s="7" t="s">
        <v>307</v>
      </c>
      <c r="F224" s="9" t="s">
        <v>122</v>
      </c>
      <c r="G224" s="9" t="s">
        <v>71</v>
      </c>
      <c r="H224" s="10">
        <v>1040</v>
      </c>
      <c r="I224" s="10">
        <v>1793.1</v>
      </c>
      <c r="J224" s="11">
        <v>580</v>
      </c>
      <c r="K224" s="9" t="s">
        <v>63</v>
      </c>
    </row>
    <row r="225" spans="1:11" ht="13.5" customHeight="1" x14ac:dyDescent="0.25">
      <c r="A225" s="12" t="s">
        <v>320</v>
      </c>
      <c r="B225" s="12">
        <v>2020</v>
      </c>
      <c r="C225" s="14" t="s">
        <v>218</v>
      </c>
      <c r="D225" s="14" t="s">
        <v>306</v>
      </c>
      <c r="E225" s="12" t="s">
        <v>307</v>
      </c>
      <c r="F225" s="14" t="s">
        <v>122</v>
      </c>
      <c r="G225" s="14" t="s">
        <v>71</v>
      </c>
      <c r="H225" s="15">
        <v>760</v>
      </c>
      <c r="I225" s="15">
        <v>1551</v>
      </c>
      <c r="J225" s="16">
        <v>490</v>
      </c>
      <c r="K225" s="14" t="s">
        <v>63</v>
      </c>
    </row>
    <row r="226" spans="1:11" ht="13.5" customHeight="1" x14ac:dyDescent="0.25">
      <c r="A226" s="7" t="s">
        <v>321</v>
      </c>
      <c r="B226" s="7">
        <v>2021</v>
      </c>
      <c r="C226" s="9" t="s">
        <v>218</v>
      </c>
      <c r="D226" s="9" t="s">
        <v>306</v>
      </c>
      <c r="E226" s="7" t="s">
        <v>307</v>
      </c>
      <c r="F226" s="9" t="s">
        <v>122</v>
      </c>
      <c r="G226" s="9" t="s">
        <v>71</v>
      </c>
      <c r="H226" s="10">
        <v>1040</v>
      </c>
      <c r="I226" s="10">
        <v>1155.5999999999999</v>
      </c>
      <c r="J226" s="11">
        <v>900</v>
      </c>
      <c r="K226" s="9" t="s">
        <v>63</v>
      </c>
    </row>
    <row r="227" spans="1:11" ht="13.5" customHeight="1" x14ac:dyDescent="0.25">
      <c r="A227" s="12" t="s">
        <v>322</v>
      </c>
      <c r="B227" s="12">
        <v>2022</v>
      </c>
      <c r="C227" s="14" t="s">
        <v>218</v>
      </c>
      <c r="D227" s="14" t="s">
        <v>306</v>
      </c>
      <c r="E227" s="12" t="s">
        <v>307</v>
      </c>
      <c r="F227" s="14" t="s">
        <v>122</v>
      </c>
      <c r="G227" s="14" t="s">
        <v>71</v>
      </c>
      <c r="H227" s="15">
        <v>1280</v>
      </c>
      <c r="I227" s="15">
        <v>1163.5999999999999</v>
      </c>
      <c r="J227" s="16">
        <v>1100</v>
      </c>
      <c r="K227" s="14" t="s">
        <v>63</v>
      </c>
    </row>
    <row r="228" spans="1:11" ht="13.5" customHeight="1" x14ac:dyDescent="0.25">
      <c r="A228" s="7" t="s">
        <v>323</v>
      </c>
      <c r="B228" s="7">
        <v>2023</v>
      </c>
      <c r="C228" s="9" t="s">
        <v>218</v>
      </c>
      <c r="D228" s="9" t="s">
        <v>306</v>
      </c>
      <c r="E228" s="7" t="s">
        <v>307</v>
      </c>
      <c r="F228" s="9" t="s">
        <v>122</v>
      </c>
      <c r="G228" s="9" t="s">
        <v>71</v>
      </c>
      <c r="H228" s="10">
        <v>1120</v>
      </c>
      <c r="I228" s="10">
        <v>1555.6</v>
      </c>
      <c r="J228" s="11">
        <v>720</v>
      </c>
      <c r="K228" s="9" t="s">
        <v>63</v>
      </c>
    </row>
    <row r="229" spans="1:11" ht="13.5" customHeight="1" x14ac:dyDescent="0.25">
      <c r="A229" s="12" t="s">
        <v>324</v>
      </c>
      <c r="B229" s="12">
        <v>2024</v>
      </c>
      <c r="C229" s="14" t="s">
        <v>218</v>
      </c>
      <c r="D229" s="14" t="s">
        <v>306</v>
      </c>
      <c r="E229" s="12" t="s">
        <v>307</v>
      </c>
      <c r="F229" s="14" t="s">
        <v>122</v>
      </c>
      <c r="G229" s="14" t="s">
        <v>71</v>
      </c>
      <c r="H229" s="15">
        <v>1280</v>
      </c>
      <c r="I229" s="15">
        <v>1882.4</v>
      </c>
      <c r="J229" s="16">
        <v>680</v>
      </c>
      <c r="K229" s="14" t="s">
        <v>63</v>
      </c>
    </row>
    <row r="230" spans="1:11" ht="13.5" customHeight="1" x14ac:dyDescent="0.25">
      <c r="A230" s="7" t="s">
        <v>325</v>
      </c>
      <c r="B230" s="7">
        <v>2019</v>
      </c>
      <c r="C230" s="9" t="s">
        <v>218</v>
      </c>
      <c r="D230" s="9" t="s">
        <v>326</v>
      </c>
      <c r="E230" s="7" t="s">
        <v>327</v>
      </c>
      <c r="F230" s="9" t="s">
        <v>328</v>
      </c>
      <c r="G230" s="9" t="s">
        <v>329</v>
      </c>
      <c r="H230" s="10">
        <v>920</v>
      </c>
      <c r="I230" s="10">
        <v>4600</v>
      </c>
      <c r="J230" s="11">
        <v>200</v>
      </c>
      <c r="K230" s="9" t="s">
        <v>63</v>
      </c>
    </row>
    <row r="231" spans="1:11" ht="13.5" customHeight="1" x14ac:dyDescent="0.25">
      <c r="A231" s="12" t="s">
        <v>330</v>
      </c>
      <c r="B231" s="12">
        <v>2020</v>
      </c>
      <c r="C231" s="14" t="s">
        <v>218</v>
      </c>
      <c r="D231" s="14" t="s">
        <v>326</v>
      </c>
      <c r="E231" s="12" t="s">
        <v>327</v>
      </c>
      <c r="F231" s="14" t="s">
        <v>328</v>
      </c>
      <c r="G231" s="14" t="s">
        <v>329</v>
      </c>
      <c r="H231" s="15">
        <v>990</v>
      </c>
      <c r="I231" s="15">
        <v>4714.3</v>
      </c>
      <c r="J231" s="16">
        <v>210</v>
      </c>
      <c r="K231" s="14" t="s">
        <v>63</v>
      </c>
    </row>
    <row r="232" spans="1:11" ht="13.5" customHeight="1" x14ac:dyDescent="0.25">
      <c r="A232" s="7" t="s">
        <v>331</v>
      </c>
      <c r="B232" s="7">
        <v>2021</v>
      </c>
      <c r="C232" s="9" t="s">
        <v>218</v>
      </c>
      <c r="D232" s="9" t="s">
        <v>326</v>
      </c>
      <c r="E232" s="7" t="s">
        <v>327</v>
      </c>
      <c r="F232" s="9" t="s">
        <v>328</v>
      </c>
      <c r="G232" s="9" t="s">
        <v>329</v>
      </c>
      <c r="H232" s="10">
        <v>1120</v>
      </c>
      <c r="I232" s="10">
        <v>4000</v>
      </c>
      <c r="J232" s="11">
        <v>280</v>
      </c>
      <c r="K232" s="9" t="s">
        <v>63</v>
      </c>
    </row>
    <row r="233" spans="1:11" ht="13.5" customHeight="1" x14ac:dyDescent="0.25">
      <c r="A233" s="12" t="s">
        <v>332</v>
      </c>
      <c r="B233" s="12">
        <v>2022</v>
      </c>
      <c r="C233" s="14" t="s">
        <v>218</v>
      </c>
      <c r="D233" s="14" t="s">
        <v>326</v>
      </c>
      <c r="E233" s="12" t="s">
        <v>327</v>
      </c>
      <c r="F233" s="14" t="s">
        <v>328</v>
      </c>
      <c r="G233" s="14" t="s">
        <v>329</v>
      </c>
      <c r="H233" s="15">
        <v>1480</v>
      </c>
      <c r="I233" s="15">
        <v>3794.9</v>
      </c>
      <c r="J233" s="16">
        <v>390</v>
      </c>
      <c r="K233" s="14" t="s">
        <v>63</v>
      </c>
    </row>
    <row r="234" spans="1:11" ht="13.5" customHeight="1" x14ac:dyDescent="0.25">
      <c r="A234" s="7" t="s">
        <v>333</v>
      </c>
      <c r="B234" s="7">
        <v>2023</v>
      </c>
      <c r="C234" s="9" t="s">
        <v>218</v>
      </c>
      <c r="D234" s="9" t="s">
        <v>326</v>
      </c>
      <c r="E234" s="7" t="s">
        <v>327</v>
      </c>
      <c r="F234" s="9" t="s">
        <v>328</v>
      </c>
      <c r="G234" s="9" t="s">
        <v>329</v>
      </c>
      <c r="H234" s="10">
        <v>1380</v>
      </c>
      <c r="I234" s="10">
        <v>4451.6000000000004</v>
      </c>
      <c r="J234" s="11">
        <v>310</v>
      </c>
      <c r="K234" s="9" t="s">
        <v>63</v>
      </c>
    </row>
    <row r="235" spans="1:11" ht="13.5" customHeight="1" x14ac:dyDescent="0.25">
      <c r="A235" s="12" t="s">
        <v>334</v>
      </c>
      <c r="B235" s="12">
        <v>2024</v>
      </c>
      <c r="C235" s="14" t="s">
        <v>218</v>
      </c>
      <c r="D235" s="14" t="s">
        <v>326</v>
      </c>
      <c r="E235" s="12" t="s">
        <v>327</v>
      </c>
      <c r="F235" s="14" t="s">
        <v>328</v>
      </c>
      <c r="G235" s="14" t="s">
        <v>329</v>
      </c>
      <c r="H235" s="15">
        <v>1260</v>
      </c>
      <c r="I235" s="15">
        <v>4666.7</v>
      </c>
      <c r="J235" s="16">
        <v>270</v>
      </c>
      <c r="K235" s="14" t="s">
        <v>63</v>
      </c>
    </row>
    <row r="236" spans="1:11" ht="13.5" customHeight="1" x14ac:dyDescent="0.25">
      <c r="A236" s="7" t="s">
        <v>335</v>
      </c>
      <c r="B236" s="7">
        <v>2019</v>
      </c>
      <c r="C236" s="9" t="s">
        <v>218</v>
      </c>
      <c r="D236" s="9" t="s">
        <v>326</v>
      </c>
      <c r="E236" s="7" t="s">
        <v>327</v>
      </c>
      <c r="F236" s="9" t="s">
        <v>336</v>
      </c>
      <c r="G236" s="9" t="s">
        <v>165</v>
      </c>
      <c r="H236" s="10">
        <v>620</v>
      </c>
      <c r="I236" s="10">
        <v>3100</v>
      </c>
      <c r="J236" s="11">
        <v>200</v>
      </c>
      <c r="K236" s="9" t="s">
        <v>63</v>
      </c>
    </row>
    <row r="237" spans="1:11" ht="13.5" customHeight="1" x14ac:dyDescent="0.25">
      <c r="A237" s="12" t="s">
        <v>337</v>
      </c>
      <c r="B237" s="12">
        <v>2020</v>
      </c>
      <c r="C237" s="14" t="s">
        <v>218</v>
      </c>
      <c r="D237" s="14" t="s">
        <v>326</v>
      </c>
      <c r="E237" s="12" t="s">
        <v>327</v>
      </c>
      <c r="F237" s="14" t="s">
        <v>336</v>
      </c>
      <c r="G237" s="14" t="s">
        <v>165</v>
      </c>
      <c r="H237" s="15">
        <v>660</v>
      </c>
      <c r="I237" s="15">
        <v>3142.9</v>
      </c>
      <c r="J237" s="16">
        <v>210</v>
      </c>
      <c r="K237" s="14" t="s">
        <v>63</v>
      </c>
    </row>
    <row r="238" spans="1:11" ht="13.5" customHeight="1" x14ac:dyDescent="0.25">
      <c r="A238" s="7" t="s">
        <v>338</v>
      </c>
      <c r="B238" s="7">
        <v>2021</v>
      </c>
      <c r="C238" s="9" t="s">
        <v>218</v>
      </c>
      <c r="D238" s="9" t="s">
        <v>326</v>
      </c>
      <c r="E238" s="7" t="s">
        <v>327</v>
      </c>
      <c r="F238" s="9" t="s">
        <v>336</v>
      </c>
      <c r="G238" s="9" t="s">
        <v>165</v>
      </c>
      <c r="H238" s="10">
        <v>750</v>
      </c>
      <c r="I238" s="10">
        <v>2678.6</v>
      </c>
      <c r="J238" s="11">
        <v>280</v>
      </c>
      <c r="K238" s="9" t="s">
        <v>63</v>
      </c>
    </row>
    <row r="239" spans="1:11" ht="13.5" customHeight="1" x14ac:dyDescent="0.25">
      <c r="A239" s="12" t="s">
        <v>339</v>
      </c>
      <c r="B239" s="12">
        <v>2022</v>
      </c>
      <c r="C239" s="14" t="s">
        <v>218</v>
      </c>
      <c r="D239" s="14" t="s">
        <v>326</v>
      </c>
      <c r="E239" s="12" t="s">
        <v>327</v>
      </c>
      <c r="F239" s="14" t="s">
        <v>336</v>
      </c>
      <c r="G239" s="14" t="s">
        <v>165</v>
      </c>
      <c r="H239" s="15">
        <v>1000</v>
      </c>
      <c r="I239" s="15">
        <v>2564.1</v>
      </c>
      <c r="J239" s="16">
        <v>390</v>
      </c>
      <c r="K239" s="14" t="s">
        <v>63</v>
      </c>
    </row>
    <row r="240" spans="1:11" ht="13.5" customHeight="1" x14ac:dyDescent="0.25">
      <c r="A240" s="7" t="s">
        <v>340</v>
      </c>
      <c r="B240" s="7">
        <v>2023</v>
      </c>
      <c r="C240" s="9" t="s">
        <v>218</v>
      </c>
      <c r="D240" s="9" t="s">
        <v>326</v>
      </c>
      <c r="E240" s="7" t="s">
        <v>327</v>
      </c>
      <c r="F240" s="9" t="s">
        <v>336</v>
      </c>
      <c r="G240" s="9" t="s">
        <v>165</v>
      </c>
      <c r="H240" s="10">
        <v>920</v>
      </c>
      <c r="I240" s="10">
        <v>2967.7</v>
      </c>
      <c r="J240" s="11">
        <v>310</v>
      </c>
      <c r="K240" s="9" t="s">
        <v>63</v>
      </c>
    </row>
    <row r="241" spans="1:11" ht="13.5" customHeight="1" x14ac:dyDescent="0.25">
      <c r="A241" s="12" t="s">
        <v>341</v>
      </c>
      <c r="B241" s="12">
        <v>2024</v>
      </c>
      <c r="C241" s="14" t="s">
        <v>218</v>
      </c>
      <c r="D241" s="14" t="s">
        <v>326</v>
      </c>
      <c r="E241" s="12" t="s">
        <v>327</v>
      </c>
      <c r="F241" s="14" t="s">
        <v>336</v>
      </c>
      <c r="G241" s="14" t="s">
        <v>165</v>
      </c>
      <c r="H241" s="15">
        <v>860</v>
      </c>
      <c r="I241" s="15">
        <v>3185.2</v>
      </c>
      <c r="J241" s="16">
        <v>270</v>
      </c>
      <c r="K241" s="14" t="s">
        <v>63</v>
      </c>
    </row>
    <row r="242" spans="1:11" ht="13.5" customHeight="1" x14ac:dyDescent="0.25">
      <c r="A242" s="7" t="s">
        <v>342</v>
      </c>
      <c r="B242" s="7">
        <v>2019</v>
      </c>
      <c r="C242" s="9" t="s">
        <v>218</v>
      </c>
      <c r="D242" s="9" t="s">
        <v>326</v>
      </c>
      <c r="E242" s="7" t="s">
        <v>327</v>
      </c>
      <c r="F242" s="9" t="s">
        <v>343</v>
      </c>
      <c r="G242" s="9" t="s">
        <v>79</v>
      </c>
      <c r="H242" s="10">
        <v>360</v>
      </c>
      <c r="I242" s="10">
        <v>1800</v>
      </c>
      <c r="J242" s="11">
        <v>200</v>
      </c>
      <c r="K242" s="9" t="s">
        <v>63</v>
      </c>
    </row>
    <row r="243" spans="1:11" ht="13.5" customHeight="1" x14ac:dyDescent="0.25">
      <c r="A243" s="12" t="s">
        <v>344</v>
      </c>
      <c r="B243" s="12">
        <v>2020</v>
      </c>
      <c r="C243" s="14" t="s">
        <v>218</v>
      </c>
      <c r="D243" s="14" t="s">
        <v>326</v>
      </c>
      <c r="E243" s="12" t="s">
        <v>327</v>
      </c>
      <c r="F243" s="14" t="s">
        <v>343</v>
      </c>
      <c r="G243" s="14" t="s">
        <v>79</v>
      </c>
      <c r="H243" s="15">
        <v>380</v>
      </c>
      <c r="I243" s="15">
        <v>1809.5</v>
      </c>
      <c r="J243" s="16">
        <v>210</v>
      </c>
      <c r="K243" s="14" t="s">
        <v>63</v>
      </c>
    </row>
    <row r="244" spans="1:11" ht="13.5" customHeight="1" x14ac:dyDescent="0.25">
      <c r="A244" s="7" t="s">
        <v>345</v>
      </c>
      <c r="B244" s="7">
        <v>2021</v>
      </c>
      <c r="C244" s="9" t="s">
        <v>218</v>
      </c>
      <c r="D244" s="9" t="s">
        <v>326</v>
      </c>
      <c r="E244" s="7" t="s">
        <v>327</v>
      </c>
      <c r="F244" s="9" t="s">
        <v>343</v>
      </c>
      <c r="G244" s="9" t="s">
        <v>79</v>
      </c>
      <c r="H244" s="10">
        <v>430</v>
      </c>
      <c r="I244" s="10">
        <v>1535.7</v>
      </c>
      <c r="J244" s="11">
        <v>280</v>
      </c>
      <c r="K244" s="9" t="s">
        <v>63</v>
      </c>
    </row>
    <row r="245" spans="1:11" ht="13.5" customHeight="1" x14ac:dyDescent="0.25">
      <c r="A245" s="12" t="s">
        <v>346</v>
      </c>
      <c r="B245" s="12">
        <v>2022</v>
      </c>
      <c r="C245" s="14" t="s">
        <v>218</v>
      </c>
      <c r="D245" s="14" t="s">
        <v>326</v>
      </c>
      <c r="E245" s="12" t="s">
        <v>327</v>
      </c>
      <c r="F245" s="14" t="s">
        <v>343</v>
      </c>
      <c r="G245" s="14" t="s">
        <v>79</v>
      </c>
      <c r="H245" s="15">
        <v>290</v>
      </c>
      <c r="I245" s="15">
        <v>743.6</v>
      </c>
      <c r="J245" s="16">
        <v>390</v>
      </c>
      <c r="K245" s="14" t="s">
        <v>63</v>
      </c>
    </row>
    <row r="246" spans="1:11" ht="13.5" customHeight="1" x14ac:dyDescent="0.25">
      <c r="A246" s="7" t="s">
        <v>347</v>
      </c>
      <c r="B246" s="7">
        <v>2023</v>
      </c>
      <c r="C246" s="9" t="s">
        <v>218</v>
      </c>
      <c r="D246" s="9" t="s">
        <v>326</v>
      </c>
      <c r="E246" s="7" t="s">
        <v>327</v>
      </c>
      <c r="F246" s="9" t="s">
        <v>343</v>
      </c>
      <c r="G246" s="9" t="s">
        <v>79</v>
      </c>
      <c r="H246" s="10">
        <v>360</v>
      </c>
      <c r="I246" s="10">
        <v>1161.3</v>
      </c>
      <c r="J246" s="11">
        <v>310</v>
      </c>
      <c r="K246" s="9" t="s">
        <v>63</v>
      </c>
    </row>
    <row r="247" spans="1:11" ht="13.5" customHeight="1" x14ac:dyDescent="0.25">
      <c r="A247" s="12" t="s">
        <v>348</v>
      </c>
      <c r="B247" s="12">
        <v>2024</v>
      </c>
      <c r="C247" s="14" t="s">
        <v>218</v>
      </c>
      <c r="D247" s="14" t="s">
        <v>326</v>
      </c>
      <c r="E247" s="12" t="s">
        <v>327</v>
      </c>
      <c r="F247" s="14" t="s">
        <v>343</v>
      </c>
      <c r="G247" s="14" t="s">
        <v>79</v>
      </c>
      <c r="H247" s="15">
        <v>390</v>
      </c>
      <c r="I247" s="15">
        <v>1444.4</v>
      </c>
      <c r="J247" s="16">
        <v>270</v>
      </c>
      <c r="K247" s="14" t="s">
        <v>63</v>
      </c>
    </row>
    <row r="248" spans="1:11" ht="13.5" customHeight="1" x14ac:dyDescent="0.25">
      <c r="A248" s="7" t="s">
        <v>349</v>
      </c>
      <c r="B248" s="7">
        <v>2019</v>
      </c>
      <c r="C248" s="9" t="s">
        <v>218</v>
      </c>
      <c r="D248" s="9" t="s">
        <v>350</v>
      </c>
      <c r="E248" s="7" t="s">
        <v>351</v>
      </c>
      <c r="F248" s="9" t="s">
        <v>70</v>
      </c>
      <c r="G248" s="9" t="s">
        <v>71</v>
      </c>
      <c r="H248" s="10">
        <v>1840</v>
      </c>
      <c r="I248" s="10">
        <v>1672.7</v>
      </c>
      <c r="J248" s="11">
        <v>1100</v>
      </c>
      <c r="K248" s="9" t="s">
        <v>63</v>
      </c>
    </row>
    <row r="249" spans="1:11" ht="13.5" customHeight="1" x14ac:dyDescent="0.25">
      <c r="A249" s="12" t="s">
        <v>352</v>
      </c>
      <c r="B249" s="12">
        <v>2020</v>
      </c>
      <c r="C249" s="14" t="s">
        <v>218</v>
      </c>
      <c r="D249" s="14" t="s">
        <v>350</v>
      </c>
      <c r="E249" s="12" t="s">
        <v>351</v>
      </c>
      <c r="F249" s="14" t="s">
        <v>70</v>
      </c>
      <c r="G249" s="14" t="s">
        <v>71</v>
      </c>
      <c r="H249" s="15">
        <v>1440</v>
      </c>
      <c r="I249" s="15">
        <v>1371.4</v>
      </c>
      <c r="J249" s="16">
        <v>1050</v>
      </c>
      <c r="K249" s="14" t="s">
        <v>63</v>
      </c>
    </row>
    <row r="250" spans="1:11" ht="13.5" customHeight="1" x14ac:dyDescent="0.25">
      <c r="A250" s="7" t="s">
        <v>353</v>
      </c>
      <c r="B250" s="7">
        <v>2021</v>
      </c>
      <c r="C250" s="9" t="s">
        <v>218</v>
      </c>
      <c r="D250" s="9" t="s">
        <v>350</v>
      </c>
      <c r="E250" s="7" t="s">
        <v>351</v>
      </c>
      <c r="F250" s="9" t="s">
        <v>70</v>
      </c>
      <c r="G250" s="9" t="s">
        <v>71</v>
      </c>
      <c r="H250" s="10">
        <v>1940</v>
      </c>
      <c r="I250" s="10">
        <v>1616.7</v>
      </c>
      <c r="J250" s="11">
        <v>1200</v>
      </c>
      <c r="K250" s="9" t="s">
        <v>63</v>
      </c>
    </row>
    <row r="251" spans="1:11" ht="13.5" customHeight="1" x14ac:dyDescent="0.25">
      <c r="A251" s="12" t="s">
        <v>354</v>
      </c>
      <c r="B251" s="12">
        <v>2022</v>
      </c>
      <c r="C251" s="14" t="s">
        <v>218</v>
      </c>
      <c r="D251" s="14" t="s">
        <v>350</v>
      </c>
      <c r="E251" s="12" t="s">
        <v>351</v>
      </c>
      <c r="F251" s="14" t="s">
        <v>70</v>
      </c>
      <c r="G251" s="14" t="s">
        <v>71</v>
      </c>
      <c r="H251" s="15">
        <v>2440</v>
      </c>
      <c r="I251" s="15">
        <v>1682.8</v>
      </c>
      <c r="J251" s="16">
        <v>1450</v>
      </c>
      <c r="K251" s="14" t="s">
        <v>63</v>
      </c>
    </row>
    <row r="252" spans="1:11" ht="13.5" customHeight="1" x14ac:dyDescent="0.25">
      <c r="A252" s="7" t="s">
        <v>355</v>
      </c>
      <c r="B252" s="7">
        <v>2023</v>
      </c>
      <c r="C252" s="9" t="s">
        <v>218</v>
      </c>
      <c r="D252" s="9" t="s">
        <v>350</v>
      </c>
      <c r="E252" s="7" t="s">
        <v>351</v>
      </c>
      <c r="F252" s="9" t="s">
        <v>70</v>
      </c>
      <c r="G252" s="9" t="s">
        <v>71</v>
      </c>
      <c r="H252" s="10">
        <v>2240</v>
      </c>
      <c r="I252" s="10">
        <v>1723.1</v>
      </c>
      <c r="J252" s="11">
        <v>1300</v>
      </c>
      <c r="K252" s="9" t="s">
        <v>63</v>
      </c>
    </row>
    <row r="253" spans="1:11" ht="13.5" customHeight="1" x14ac:dyDescent="0.25">
      <c r="A253" s="12" t="s">
        <v>356</v>
      </c>
      <c r="B253" s="12">
        <v>2024</v>
      </c>
      <c r="C253" s="14" t="s">
        <v>218</v>
      </c>
      <c r="D253" s="14" t="s">
        <v>350</v>
      </c>
      <c r="E253" s="12" t="s">
        <v>351</v>
      </c>
      <c r="F253" s="14" t="s">
        <v>70</v>
      </c>
      <c r="G253" s="14" t="s">
        <v>71</v>
      </c>
      <c r="H253" s="15">
        <v>2440</v>
      </c>
      <c r="I253" s="15">
        <v>1807.4</v>
      </c>
      <c r="J253" s="16">
        <v>1350</v>
      </c>
      <c r="K253" s="14" t="s">
        <v>63</v>
      </c>
    </row>
    <row r="254" spans="1:11" ht="13.5" customHeight="1" x14ac:dyDescent="0.25">
      <c r="A254" s="7" t="s">
        <v>357</v>
      </c>
      <c r="B254" s="7">
        <v>2019</v>
      </c>
      <c r="C254" s="9" t="s">
        <v>218</v>
      </c>
      <c r="D254" s="9" t="s">
        <v>350</v>
      </c>
      <c r="E254" s="7" t="s">
        <v>351</v>
      </c>
      <c r="F254" s="9" t="s">
        <v>185</v>
      </c>
      <c r="G254" s="9" t="s">
        <v>94</v>
      </c>
      <c r="H254" s="10">
        <v>1140</v>
      </c>
      <c r="I254" s="10">
        <v>1036.4000000000001</v>
      </c>
      <c r="J254" s="11">
        <v>1100</v>
      </c>
      <c r="K254" s="9" t="s">
        <v>63</v>
      </c>
    </row>
    <row r="255" spans="1:11" ht="13.5" customHeight="1" x14ac:dyDescent="0.25">
      <c r="A255" s="12" t="s">
        <v>358</v>
      </c>
      <c r="B255" s="12">
        <v>2020</v>
      </c>
      <c r="C255" s="14" t="s">
        <v>218</v>
      </c>
      <c r="D255" s="14" t="s">
        <v>350</v>
      </c>
      <c r="E255" s="12" t="s">
        <v>351</v>
      </c>
      <c r="F255" s="14" t="s">
        <v>185</v>
      </c>
      <c r="G255" s="14" t="s">
        <v>94</v>
      </c>
      <c r="H255" s="15">
        <v>860</v>
      </c>
      <c r="I255" s="15">
        <v>819</v>
      </c>
      <c r="J255" s="16">
        <v>1050</v>
      </c>
      <c r="K255" s="14" t="s">
        <v>63</v>
      </c>
    </row>
    <row r="256" spans="1:11" ht="13.5" customHeight="1" x14ac:dyDescent="0.25">
      <c r="A256" s="7" t="s">
        <v>359</v>
      </c>
      <c r="B256" s="7">
        <v>2021</v>
      </c>
      <c r="C256" s="9" t="s">
        <v>218</v>
      </c>
      <c r="D256" s="9" t="s">
        <v>350</v>
      </c>
      <c r="E256" s="7" t="s">
        <v>351</v>
      </c>
      <c r="F256" s="9" t="s">
        <v>185</v>
      </c>
      <c r="G256" s="9" t="s">
        <v>94</v>
      </c>
      <c r="H256" s="10">
        <v>1160</v>
      </c>
      <c r="I256" s="10">
        <v>966.7</v>
      </c>
      <c r="J256" s="11">
        <v>1200</v>
      </c>
      <c r="K256" s="9" t="s">
        <v>63</v>
      </c>
    </row>
    <row r="257" spans="1:11" ht="13.5" customHeight="1" x14ac:dyDescent="0.25">
      <c r="A257" s="12" t="s">
        <v>360</v>
      </c>
      <c r="B257" s="12">
        <v>2022</v>
      </c>
      <c r="C257" s="14" t="s">
        <v>218</v>
      </c>
      <c r="D257" s="14" t="s">
        <v>350</v>
      </c>
      <c r="E257" s="12" t="s">
        <v>351</v>
      </c>
      <c r="F257" s="14" t="s">
        <v>185</v>
      </c>
      <c r="G257" s="14" t="s">
        <v>94</v>
      </c>
      <c r="H257" s="15">
        <v>1460</v>
      </c>
      <c r="I257" s="15">
        <v>1006.9</v>
      </c>
      <c r="J257" s="16">
        <v>1450</v>
      </c>
      <c r="K257" s="14" t="s">
        <v>63</v>
      </c>
    </row>
    <row r="258" spans="1:11" ht="13.5" customHeight="1" x14ac:dyDescent="0.25">
      <c r="A258" s="7" t="s">
        <v>361</v>
      </c>
      <c r="B258" s="7">
        <v>2023</v>
      </c>
      <c r="C258" s="9" t="s">
        <v>218</v>
      </c>
      <c r="D258" s="9" t="s">
        <v>350</v>
      </c>
      <c r="E258" s="7" t="s">
        <v>351</v>
      </c>
      <c r="F258" s="9" t="s">
        <v>185</v>
      </c>
      <c r="G258" s="9" t="s">
        <v>94</v>
      </c>
      <c r="H258" s="10">
        <v>1320</v>
      </c>
      <c r="I258" s="10">
        <v>1015.4</v>
      </c>
      <c r="J258" s="11">
        <v>1300</v>
      </c>
      <c r="K258" s="9" t="s">
        <v>63</v>
      </c>
    </row>
    <row r="259" spans="1:11" ht="13.5" customHeight="1" x14ac:dyDescent="0.25">
      <c r="A259" s="12" t="s">
        <v>362</v>
      </c>
      <c r="B259" s="12">
        <v>2024</v>
      </c>
      <c r="C259" s="14" t="s">
        <v>218</v>
      </c>
      <c r="D259" s="14" t="s">
        <v>350</v>
      </c>
      <c r="E259" s="12" t="s">
        <v>351</v>
      </c>
      <c r="F259" s="14" t="s">
        <v>185</v>
      </c>
      <c r="G259" s="14" t="s">
        <v>94</v>
      </c>
      <c r="H259" s="15">
        <v>1460</v>
      </c>
      <c r="I259" s="15">
        <v>1081.5</v>
      </c>
      <c r="J259" s="16">
        <v>1350</v>
      </c>
      <c r="K259" s="14" t="s">
        <v>63</v>
      </c>
    </row>
    <row r="260" spans="1:11" ht="13.5" customHeight="1" x14ac:dyDescent="0.25">
      <c r="A260" s="7" t="s">
        <v>363</v>
      </c>
      <c r="B260" s="7">
        <v>2019</v>
      </c>
      <c r="C260" s="9" t="s">
        <v>218</v>
      </c>
      <c r="D260" s="9" t="s">
        <v>350</v>
      </c>
      <c r="E260" s="7" t="s">
        <v>351</v>
      </c>
      <c r="F260" s="9" t="s">
        <v>266</v>
      </c>
      <c r="G260" s="9" t="s">
        <v>79</v>
      </c>
      <c r="H260" s="10">
        <v>720</v>
      </c>
      <c r="I260" s="10">
        <v>654.5</v>
      </c>
      <c r="J260" s="11">
        <v>1100</v>
      </c>
      <c r="K260" s="9" t="s">
        <v>63</v>
      </c>
    </row>
    <row r="261" spans="1:11" ht="13.5" customHeight="1" x14ac:dyDescent="0.25">
      <c r="A261" s="12" t="s">
        <v>364</v>
      </c>
      <c r="B261" s="12">
        <v>2020</v>
      </c>
      <c r="C261" s="14" t="s">
        <v>218</v>
      </c>
      <c r="D261" s="14" t="s">
        <v>350</v>
      </c>
      <c r="E261" s="12" t="s">
        <v>351</v>
      </c>
      <c r="F261" s="14" t="s">
        <v>266</v>
      </c>
      <c r="G261" s="14" t="s">
        <v>79</v>
      </c>
      <c r="H261" s="15">
        <v>560</v>
      </c>
      <c r="I261" s="15">
        <v>533.29999999999995</v>
      </c>
      <c r="J261" s="16">
        <v>1050</v>
      </c>
      <c r="K261" s="14" t="s">
        <v>63</v>
      </c>
    </row>
    <row r="262" spans="1:11" ht="13.5" customHeight="1" x14ac:dyDescent="0.25">
      <c r="A262" s="7" t="s">
        <v>365</v>
      </c>
      <c r="B262" s="7">
        <v>2021</v>
      </c>
      <c r="C262" s="9" t="s">
        <v>218</v>
      </c>
      <c r="D262" s="9" t="s">
        <v>350</v>
      </c>
      <c r="E262" s="7" t="s">
        <v>351</v>
      </c>
      <c r="F262" s="9" t="s">
        <v>266</v>
      </c>
      <c r="G262" s="9" t="s">
        <v>79</v>
      </c>
      <c r="H262" s="10">
        <v>740</v>
      </c>
      <c r="I262" s="10">
        <v>616.70000000000005</v>
      </c>
      <c r="J262" s="11">
        <v>1200</v>
      </c>
      <c r="K262" s="9" t="s">
        <v>63</v>
      </c>
    </row>
    <row r="263" spans="1:11" ht="13.5" customHeight="1" x14ac:dyDescent="0.25">
      <c r="A263" s="12" t="s">
        <v>366</v>
      </c>
      <c r="B263" s="12">
        <v>2022</v>
      </c>
      <c r="C263" s="14" t="s">
        <v>218</v>
      </c>
      <c r="D263" s="14" t="s">
        <v>350</v>
      </c>
      <c r="E263" s="12" t="s">
        <v>351</v>
      </c>
      <c r="F263" s="14" t="s">
        <v>266</v>
      </c>
      <c r="G263" s="14" t="s">
        <v>79</v>
      </c>
      <c r="H263" s="15">
        <v>940</v>
      </c>
      <c r="I263" s="15">
        <v>648.29999999999995</v>
      </c>
      <c r="J263" s="16">
        <v>1450</v>
      </c>
      <c r="K263" s="14" t="s">
        <v>63</v>
      </c>
    </row>
    <row r="264" spans="1:11" ht="13.5" customHeight="1" x14ac:dyDescent="0.25">
      <c r="A264" s="7" t="s">
        <v>367</v>
      </c>
      <c r="B264" s="7">
        <v>2023</v>
      </c>
      <c r="C264" s="9" t="s">
        <v>218</v>
      </c>
      <c r="D264" s="9" t="s">
        <v>350</v>
      </c>
      <c r="E264" s="7" t="s">
        <v>351</v>
      </c>
      <c r="F264" s="9" t="s">
        <v>266</v>
      </c>
      <c r="G264" s="9" t="s">
        <v>79</v>
      </c>
      <c r="H264" s="10">
        <v>840</v>
      </c>
      <c r="I264" s="10">
        <v>646.20000000000005</v>
      </c>
      <c r="J264" s="11">
        <v>1300</v>
      </c>
      <c r="K264" s="9" t="s">
        <v>63</v>
      </c>
    </row>
    <row r="265" spans="1:11" ht="13.5" customHeight="1" x14ac:dyDescent="0.25">
      <c r="A265" s="12" t="s">
        <v>368</v>
      </c>
      <c r="B265" s="12">
        <v>2024</v>
      </c>
      <c r="C265" s="14" t="s">
        <v>218</v>
      </c>
      <c r="D265" s="14" t="s">
        <v>350</v>
      </c>
      <c r="E265" s="12" t="s">
        <v>351</v>
      </c>
      <c r="F265" s="14" t="s">
        <v>266</v>
      </c>
      <c r="G265" s="14" t="s">
        <v>79</v>
      </c>
      <c r="H265" s="15">
        <v>940</v>
      </c>
      <c r="I265" s="15">
        <v>696.3</v>
      </c>
      <c r="J265" s="16">
        <v>1350</v>
      </c>
      <c r="K265" s="14" t="s">
        <v>63</v>
      </c>
    </row>
    <row r="266" spans="1:11" ht="13.5" customHeight="1" x14ac:dyDescent="0.25">
      <c r="A266" s="7" t="s">
        <v>367</v>
      </c>
      <c r="B266" s="7">
        <v>2023</v>
      </c>
      <c r="C266" s="17" t="s">
        <v>218</v>
      </c>
      <c r="D266" s="9" t="s">
        <v>350</v>
      </c>
      <c r="E266" s="7" t="s">
        <v>351</v>
      </c>
      <c r="F266" s="9" t="s">
        <v>266</v>
      </c>
      <c r="G266" s="9" t="s">
        <v>79</v>
      </c>
      <c r="H266" s="10">
        <v>840</v>
      </c>
      <c r="I266" s="10">
        <v>646.20000000000005</v>
      </c>
      <c r="J266" s="11">
        <v>1300</v>
      </c>
      <c r="K266" s="9" t="s">
        <v>63</v>
      </c>
    </row>
    <row r="267" spans="1:11" ht="13.5" customHeight="1" x14ac:dyDescent="0.25">
      <c r="A267" s="12" t="s">
        <v>368</v>
      </c>
      <c r="B267" s="12">
        <v>2024</v>
      </c>
      <c r="C267" s="18" t="s">
        <v>218</v>
      </c>
      <c r="D267" s="14" t="s">
        <v>350</v>
      </c>
      <c r="E267" s="12" t="s">
        <v>351</v>
      </c>
      <c r="F267" s="14" t="s">
        <v>266</v>
      </c>
      <c r="G267" s="14" t="s">
        <v>79</v>
      </c>
      <c r="H267" s="15">
        <v>940</v>
      </c>
      <c r="I267" s="15">
        <v>696.3</v>
      </c>
      <c r="J267" s="16">
        <v>1350</v>
      </c>
      <c r="K267" s="14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DASHBOARD</vt:lpstr>
      <vt:lpstr>DATA PROFILE</vt:lpstr>
      <vt:lpstr>UNIVARIATE</vt:lpstr>
      <vt:lpstr>BIVARIATE</vt:lpstr>
      <vt:lpstr>TIME SERIES</vt:lpstr>
      <vt:lpstr>TRADE BALANCE</vt:lpstr>
      <vt:lpstr>KEY FINDINGS</vt:lpstr>
      <vt:lpstr>RAW DATA</vt:lpstr>
      <vt:lpstr>Data_table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keanen</cp:lastModifiedBy>
  <cp:revision>1</cp:revision>
  <dcterms:created xsi:type="dcterms:W3CDTF">2026-03-15T08:41:23Z</dcterms:created>
  <dcterms:modified xsi:type="dcterms:W3CDTF">2026-03-24T15:24:35Z</dcterms:modified>
  <dc:language>en-US</dc:language>
</cp:coreProperties>
</file>